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anh\Documents\capstone-starter\docs\"/>
    </mc:Choice>
  </mc:AlternateContent>
  <xr:revisionPtr revIDLastSave="0" documentId="13_ncr:1_{6855FA64-57A0-4B07-B677-4A227017848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uần" sheetId="1" r:id="rId1"/>
    <sheet name="Nhân sự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G75" i="1"/>
  <c r="G74" i="1"/>
  <c r="H73" i="1"/>
  <c r="F73" i="1"/>
  <c r="E73" i="1"/>
  <c r="G72" i="1"/>
  <c r="G71" i="1"/>
  <c r="G70" i="1"/>
  <c r="G69" i="1"/>
  <c r="G68" i="1"/>
  <c r="G67" i="1"/>
  <c r="G66" i="1"/>
  <c r="H65" i="1"/>
  <c r="F65" i="1"/>
  <c r="E65" i="1"/>
  <c r="G64" i="1"/>
  <c r="G63" i="1"/>
  <c r="G62" i="1"/>
  <c r="G61" i="1"/>
  <c r="G60" i="1"/>
  <c r="H59" i="1"/>
  <c r="F59" i="1"/>
  <c r="E59" i="1"/>
  <c r="G58" i="1"/>
  <c r="G57" i="1"/>
  <c r="G56" i="1"/>
  <c r="G55" i="1"/>
  <c r="G54" i="1"/>
  <c r="G53" i="1"/>
  <c r="H52" i="1"/>
  <c r="F52" i="1"/>
  <c r="E52" i="1"/>
  <c r="G51" i="1"/>
  <c r="G50" i="1"/>
  <c r="G49" i="1"/>
  <c r="G48" i="1"/>
  <c r="G47" i="1"/>
  <c r="G46" i="1"/>
  <c r="G45" i="1"/>
  <c r="G44" i="1"/>
  <c r="H43" i="1"/>
  <c r="F43" i="1"/>
  <c r="E43" i="1"/>
  <c r="G42" i="1"/>
  <c r="G41" i="1"/>
  <c r="G40" i="1"/>
  <c r="G39" i="1"/>
  <c r="G38" i="1"/>
  <c r="G37" i="1"/>
  <c r="G36" i="1"/>
  <c r="H35" i="1"/>
  <c r="F35" i="1"/>
  <c r="E35" i="1"/>
  <c r="G34" i="1"/>
  <c r="G33" i="1"/>
  <c r="G32" i="1"/>
  <c r="G31" i="1"/>
  <c r="G30" i="1"/>
  <c r="G29" i="1"/>
  <c r="G28" i="1"/>
  <c r="H27" i="1"/>
  <c r="F27" i="1"/>
  <c r="E27" i="1"/>
  <c r="G26" i="1"/>
  <c r="G25" i="1"/>
  <c r="G24" i="1"/>
  <c r="G23" i="1"/>
  <c r="G22" i="1"/>
  <c r="G21" i="1"/>
  <c r="G20" i="1"/>
  <c r="G19" i="1"/>
  <c r="H18" i="1"/>
  <c r="F18" i="1"/>
  <c r="E18" i="1"/>
  <c r="G17" i="1"/>
  <c r="G16" i="1"/>
  <c r="G15" i="1"/>
  <c r="G14" i="1"/>
  <c r="G13" i="1"/>
  <c r="H12" i="1"/>
  <c r="F12" i="1"/>
  <c r="E12" i="1"/>
  <c r="G11" i="1"/>
  <c r="G10" i="1"/>
  <c r="G9" i="1"/>
  <c r="G8" i="1"/>
  <c r="G7" i="1"/>
  <c r="G6" i="1"/>
  <c r="H5" i="1"/>
  <c r="F5" i="1"/>
  <c r="E5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DR3" i="1"/>
  <c r="DK3" i="1"/>
  <c r="DD3" i="1"/>
  <c r="CW3" i="1"/>
  <c r="CP3" i="1"/>
  <c r="CI3" i="1"/>
  <c r="CB3" i="1"/>
  <c r="BU3" i="1"/>
  <c r="BN3" i="1"/>
  <c r="BG3" i="1"/>
  <c r="AZ3" i="1"/>
  <c r="AS3" i="1"/>
  <c r="AL3" i="1"/>
  <c r="AE3" i="1"/>
  <c r="X3" i="1"/>
  <c r="Q3" i="1"/>
  <c r="J3" i="1"/>
  <c r="G73" i="1" l="1"/>
  <c r="G65" i="1"/>
  <c r="G52" i="1"/>
  <c r="G35" i="1"/>
  <c r="G12" i="1"/>
  <c r="G59" i="1"/>
  <c r="G43" i="1"/>
  <c r="G27" i="1"/>
  <c r="G18" i="1"/>
  <c r="G5" i="1"/>
</calcChain>
</file>

<file path=xl/sharedStrings.xml><?xml version="1.0" encoding="utf-8"?>
<sst xmlns="http://schemas.openxmlformats.org/spreadsheetml/2006/main" count="368" uniqueCount="222">
  <si>
    <t>Kế hoạch dự án tốt nghiệp – Bản đồ xúc giác cho người khiếm thị</t>
  </si>
  <si>
    <t>© Ver 1.0 – Người lập: Trần Thành Đạt – Kế hoạch từ 10/09/2026 đến 01/01/2027 – Cập nhật trạng thái theo repo ngày 08/10/2026</t>
  </si>
  <si>
    <t>STT</t>
  </si>
  <si>
    <t>Hạng mục công việc</t>
  </si>
  <si>
    <t>Chịu trách nhiệm</t>
  </si>
  <si>
    <t>Phối hợp</t>
  </si>
  <si>
    <t>Bắt đầu</t>
  </si>
  <si>
    <t>Kết thúc</t>
  </si>
  <si>
    <t>Số ngày</t>
  </si>
  <si>
    <t>Trạng Thái</t>
  </si>
  <si>
    <t>Note</t>
  </si>
  <si>
    <t>KHỞI TẠO DỰ ÁN</t>
  </si>
  <si>
    <t>Trần Thành Đạt</t>
  </si>
  <si>
    <t>1.1</t>
  </si>
  <si>
    <t>Chuẩn bị công cụ và môi trường làm việc</t>
  </si>
  <si>
    <t>Hoàn thành</t>
  </si>
  <si>
    <t>Repo có Bun, scripts/init.sh</t>
  </si>
  <si>
    <t>1.2</t>
  </si>
  <si>
    <t>Chọn đề tài: bản đồ xúc giác cho người khiếm thị; tìm hiểu bài toán</t>
  </si>
  <si>
    <t>docs/idea.md</t>
  </si>
  <si>
    <t>1.3</t>
  </si>
  <si>
    <t>Đăng ký đề tài, xin xác nhận của giảng viên hướng dẫn</t>
  </si>
  <si>
    <t>GVHD</t>
  </si>
  <si>
    <t>Quá hạn</t>
  </si>
  <si>
    <t>Mốc: đề tài được duyệt – Chưa có xác nhận trong repo</t>
  </si>
  <si>
    <t>1.4</t>
  </si>
  <si>
    <t>Lập kế hoạch chi tiết (WBS, Gantt), ước lượng thời gian</t>
  </si>
  <si>
    <t>File kế hoạch này</t>
  </si>
  <si>
    <t>1.5</t>
  </si>
  <si>
    <t>Thiết lập Git repo, quy ước commit, bảng quản lý task</t>
  </si>
  <si>
    <t>Git: commit đầu 02/10/2026</t>
  </si>
  <si>
    <t>1.6</t>
  </si>
  <si>
    <t>Thống nhất kế hoạch với giảng viên hướng dẫn</t>
  </si>
  <si>
    <t>Mốc: chốt kế hoạch – Chưa có biên bản trong repo</t>
  </si>
  <si>
    <t>PHÂN TÍCH &amp; ĐẶC TẢ YÊU CẦU</t>
  </si>
  <si>
    <t>2.1</t>
  </si>
  <si>
    <t>Nghiên cứu chuẩn xúc giác BANA 2022 và braille ADA §703</t>
  </si>
  <si>
    <t>Hằng số chuẩn trong tactile/convert.ts</t>
  </si>
  <si>
    <t>2.2</t>
  </si>
  <si>
    <t>2.3</t>
  </si>
  <si>
    <t>Thu thập bộ ảnh mặt bằng mẫu để thử nghiệm</t>
  </si>
  <si>
    <t>Làm song song, thu dần – apps/web/public/gallery: 5 ảnh mặt bằng</t>
  </si>
  <si>
    <t>2.4</t>
  </si>
  <si>
    <t>Viết product brief, use case, user story</t>
  </si>
  <si>
    <t>2.5</t>
  </si>
  <si>
    <t>Đặc tả yêu cầu chức năng / phi chức năng (SRS)</t>
  </si>
  <si>
    <t>Chưa có tài liệu SRS</t>
  </si>
  <si>
    <t>THIẾT KẾ HỆ THỐNG</t>
  </si>
  <si>
    <t>3.1</t>
  </si>
  <si>
    <t>Kiến trúc tổng thể: monorepo Bun, web Next.js, API Hono, packages/shared</t>
  </si>
  <si>
    <t>README: mục Cách hoạt động</t>
  </si>
  <si>
    <t>3.2</t>
  </si>
  <si>
    <t>Thiết kế FloorModel – định dạng dữ liệu dùng chung</t>
  </si>
  <si>
    <t>packages/shared/src/floor-model.ts</t>
  </si>
  <si>
    <t>3.3</t>
  </si>
  <si>
    <t>Thiết kế CSDL SQLite + Drizzle</t>
  </si>
  <si>
    <t>apps/api/src/db/schema.ts</t>
  </si>
  <si>
    <t>3.4</t>
  </si>
  <si>
    <t>Thiết kế API endpoint (upload, project, chạy agent, xuất STL)</t>
  </si>
  <si>
    <t>apps/api/src/routes/projects.ts</t>
  </si>
  <si>
    <t>3.5</t>
  </si>
  <si>
    <t>Thiết kế UI/UX: wireframe, mockup các màn hình</t>
  </si>
  <si>
    <t>Giao diện đã làm trong apps/web</t>
  </si>
  <si>
    <t>3.6</t>
  </si>
  <si>
    <t>Thiết kế luồng agent đọc / agent sửa và prompt</t>
  </si>
  <si>
    <t>agents/parser.ts, editor.ts</t>
  </si>
  <si>
    <t>3.7</t>
  </si>
  <si>
    <t>Thiết kế bộ chuyển đổi xúc giác: hằng số chuẩn, hình học STL</t>
  </si>
  <si>
    <t>tactile/convert.ts, geometry.ts</t>
  </si>
  <si>
    <t>3.8</t>
  </si>
  <si>
    <t>Hoàn thiện tài liệu thiết kế (SDD) và review với GVHD</t>
  </si>
  <si>
    <t>Đang thực hiện</t>
  </si>
  <si>
    <t>Mốc: chốt thiết kế – README có kiến trúc, chưa có SDD</t>
  </si>
  <si>
    <t>SPRINT 1 – NỀN TẢNG</t>
  </si>
  <si>
    <t>4.1</t>
  </si>
  <si>
    <t>Khởi tạo monorepo, script setup, file .env mẫu</t>
  </si>
  <si>
    <t>package.json, .env.example</t>
  </si>
  <si>
    <t>4.2</t>
  </si>
  <si>
    <t>packages/shared: kiểu FloorModel, Project</t>
  </si>
  <si>
    <t>packages/shared</t>
  </si>
  <si>
    <t>4.3</t>
  </si>
  <si>
    <t>API: server Hono, schema + migration, CRUD project, lưu ảnh upload</t>
  </si>
  <si>
    <t>Hono + Drizzle, 2 migration</t>
  </si>
  <si>
    <t>4.4</t>
  </si>
  <si>
    <t>Web: layout, trang chủ, điều hướng, chân trang</t>
  </si>
  <si>
    <t>Đang sửa layout, bỏ chân trang</t>
  </si>
  <si>
    <t>4.5</t>
  </si>
  <si>
    <t>Dữ liệu văn phòng mẫu để chạy thử không cần khóa AI</t>
  </si>
  <si>
    <t>apps/api/src/sample.ts</t>
  </si>
  <si>
    <t>4.6</t>
  </si>
  <si>
    <t>Web: trang tải ảnh lên + danh sách bản đồ</t>
  </si>
  <si>
    <t>app/maps, components/home</t>
  </si>
  <si>
    <t>4.7</t>
  </si>
  <si>
    <t>Demo Sprint 1 với giảng viên hướng dẫn</t>
  </si>
  <si>
    <t>Chưa bắt đầu</t>
  </si>
  <si>
    <t>Mốc: demo Sprint 1</t>
  </si>
  <si>
    <t>SPRINT 2 – AI AGENT</t>
  </si>
  <si>
    <t>5.1</t>
  </si>
  <si>
    <t>Tích hợp mô hình AI: Gemini / OpenRouter, danh sách mô hình kèm giá</t>
  </si>
  <si>
    <t>agents/llm.ts, models.ts</t>
  </si>
  <si>
    <t>5.2</t>
  </si>
  <si>
    <t>Agent đọc mặt bằng: ảnh → FloorModel (tường, cửa, phòng, ký hiệu)</t>
  </si>
  <si>
    <t>agents/parser.ts</t>
  </si>
  <si>
    <t>5.3</t>
  </si>
  <si>
    <t>Làm sạch JSON trả về và gán độ tin cậy</t>
  </si>
  <si>
    <t>agents/normalize.ts</t>
  </si>
  <si>
    <t>5.4</t>
  </si>
  <si>
    <t>Chạy agent ở chế độ nền + web hỏi trạng thái mỗi 2 giây</t>
  </si>
  <si>
    <t>Chạy nền + hỏi lại mỗi 2 giây</t>
  </si>
  <si>
    <t>5.5</t>
  </si>
  <si>
    <t>Agent sửa: câu lệnh + FloorModel → FloorModel</t>
  </si>
  <si>
    <t>agents/editor.ts, ai-edit-box.tsx</t>
  </si>
  <si>
    <t>5.6</t>
  </si>
  <si>
    <t>Đánh giá độ chính xác agent đọc trên bộ ảnh mẫu</t>
  </si>
  <si>
    <t>Chưa có số liệu đánh giá</t>
  </si>
  <si>
    <t>5.7</t>
  </si>
  <si>
    <t>Demo Sprint 2 với giảng viên hướng dẫn</t>
  </si>
  <si>
    <t>Mốc: demo Sprint 2</t>
  </si>
  <si>
    <t>SPRINT 3 – TRÌNH CHỈNH SỬA &amp; CHUYỂN ĐỔI XÚC GIÁC</t>
  </si>
  <si>
    <t>6.1</t>
  </si>
  <si>
    <t>Trình chỉnh sửa: vẽ FloorModel đè lên ảnh, kéo điểm, thêm/xóa đối tượng</t>
  </si>
  <si>
    <t>components/editor</t>
  </si>
  <si>
    <t>6.2</t>
  </si>
  <si>
    <t>Tô màu cảnh báo các phần có độ tin cậy &lt; 70%</t>
  </si>
  <si>
    <t>Tô hổ phách khi độ tin cậy &lt; 70%</t>
  </si>
  <si>
    <t>6.3</t>
  </si>
  <si>
    <t>Ô nhập lệnh cho agent sửa trên giao diện</t>
  </si>
  <si>
    <t>ai-edit-box.tsx</t>
  </si>
  <si>
    <t>6.4</t>
  </si>
  <si>
    <t>Chuyển chữ → chấm braille</t>
  </si>
  <si>
    <t>tactile/braille.ts</t>
  </si>
  <si>
    <t>6.5</t>
  </si>
  <si>
    <t>Hình học 3D: khối hộp, vòm, vòng → tam giác → file STL</t>
  </si>
  <si>
    <t>tactile/geometry.ts</t>
  </si>
  <si>
    <t>6.6</t>
  </si>
  <si>
    <t>Chuyển FloorModel → tấm 200×200 mm theo chuẩn + cảnh báo vi phạm</t>
  </si>
  <si>
    <t>tactile/convert.ts</t>
  </si>
  <si>
    <t>6.7</t>
  </si>
  <si>
    <t>Unit test bộ chuyển đổi xúc giác và braille</t>
  </si>
  <si>
    <t>Repo chưa có file test</t>
  </si>
  <si>
    <t>6.8</t>
  </si>
  <si>
    <t>Demo Sprint 3 với giảng viên hướng dẫn</t>
  </si>
  <si>
    <t>Mốc: demo Sprint 3</t>
  </si>
  <si>
    <t>SPRINT 4 – XEM 3D, XUẤT FILE &amp; HOÀN THIỆN</t>
  </si>
  <si>
    <t>7.1</t>
  </si>
  <si>
    <t>Xem trước 3D bằng three.js</t>
  </si>
  <si>
    <t>preview/plate-viewer.tsx</t>
  </si>
  <si>
    <t>7.2</t>
  </si>
  <si>
    <t>Xuất STL: tấm bản đồ + tấm chú giải braille</t>
  </si>
  <si>
    <t>map.stl, legend.stl</t>
  </si>
  <si>
    <t>7.3</t>
  </si>
  <si>
    <t>Các trang thông tin: giới thiệu, cách hoạt động, hướng dẫn ảnh đầu vào, thư viện</t>
  </si>
  <si>
    <t>5 trang thông tin</t>
  </si>
  <si>
    <t>7.4</t>
  </si>
  <si>
    <t>In 3D thử nghiệm, đo và chỉnh thông số (cửa ≥ 5 mm, chấm 0,7 mm)</t>
  </si>
  <si>
    <t>Máy in chạy song song – Có file STL mẫu, chưa in</t>
  </si>
  <si>
    <t>7.5</t>
  </si>
  <si>
    <t>Đóng gói Docker và triển khai bản demo</t>
  </si>
  <si>
    <t>Có Dockerfile, chưa xác nhận triển khai</t>
  </si>
  <si>
    <t>7.6</t>
  </si>
  <si>
    <t>Demo Sprint 4 – bản hoàn chỉnh tính năng</t>
  </si>
  <si>
    <t>Mốc: đủ tính năng</t>
  </si>
  <si>
    <t>KIỂM THỬ &amp; SỬA LỖI</t>
  </si>
  <si>
    <t>8.1</t>
  </si>
  <si>
    <t>Lập kế hoạch kiểm thử và viết test case</t>
  </si>
  <si>
    <t>8.2</t>
  </si>
  <si>
    <t>Kiểm thử chức năng, tích hợp, end-to-end</t>
  </si>
  <si>
    <t>8.3</t>
  </si>
  <si>
    <t>Kiểm thử với người dùng thật (đọc bản đồ in 3D)</t>
  </si>
  <si>
    <t>Người dùng</t>
  </si>
  <si>
    <t>8.4</t>
  </si>
  <si>
    <t>Sửa lỗi và tối ưu</t>
  </si>
  <si>
    <t>8.5</t>
  </si>
  <si>
    <t>Đóng băng mã nguồn (code freeze)</t>
  </si>
  <si>
    <t>Mốc: code freeze</t>
  </si>
  <si>
    <t>TÀI LIỆU, BÁO CÁO &amp; BẢO VỆ</t>
  </si>
  <si>
    <t>9.1</t>
  </si>
  <si>
    <t>Viết báo cáo đồ án tốt nghiệp</t>
  </si>
  <si>
    <t>Viết dần từ tài liệu SRS, SDD</t>
  </si>
  <si>
    <t>9.2</t>
  </si>
  <si>
    <t>Hướng dẫn cài đặt và sử dụng (README)</t>
  </si>
  <si>
    <t>README tiếng Việt</t>
  </si>
  <si>
    <t>9.3</t>
  </si>
  <si>
    <t>Slide thuyết trình và video demo</t>
  </si>
  <si>
    <t>docs/gioi-thieu-du-an.pptx</t>
  </si>
  <si>
    <t>9.4</t>
  </si>
  <si>
    <t>Gửi báo cáo cho giảng viên hướng dẫn góp ý</t>
  </si>
  <si>
    <t>Mốc: nộp bản nháp</t>
  </si>
  <si>
    <t>9.5</t>
  </si>
  <si>
    <t>Chỉnh sửa báo cáo theo góp ý</t>
  </si>
  <si>
    <t>9.6</t>
  </si>
  <si>
    <t>Tổng duyệt thuyết trình</t>
  </si>
  <si>
    <t>9.7</t>
  </si>
  <si>
    <t>Nộp hồ sơ cuối, bàn giao mã nguồn, đóng dự án</t>
  </si>
  <si>
    <t>Mốc: hoàn thành dự án</t>
  </si>
  <si>
    <t>QUẢN LÝ DỰ ÁN (XUYÊN SUỐT)</t>
  </si>
  <si>
    <t>10.1</t>
  </si>
  <si>
    <t>Tự đánh giá tiến độ hằng tuần, cập nhật bảng task</t>
  </si>
  <si>
    <t>Thứ Hai hằng tuần</t>
  </si>
  <si>
    <t>10.2</t>
  </si>
  <si>
    <t>Báo cáo tiến độ với giảng viên hướng dẫn</t>
  </si>
  <si>
    <t>2 tuần/lần</t>
  </si>
  <si>
    <t>10.3</t>
  </si>
  <si>
    <t>Quản lý rủi ro: khóa AI, chi phí API, máy in 3D</t>
  </si>
  <si>
    <t>Chú thích</t>
  </si>
  <si>
    <t>Giai đoạn (ngày bắt đầu/kết thúc tự tính từ các công việc con)</t>
  </si>
  <si>
    <t>Công việc</t>
  </si>
  <si>
    <t>Mốc quan trọng (cột Note bắt đầu bằng "Mốc")</t>
  </si>
  <si>
    <t>Công việc đã hoàn thành</t>
  </si>
  <si>
    <t>Hôm nay</t>
  </si>
  <si>
    <t>Thứ Bảy, Chủ Nhật</t>
  </si>
  <si>
    <t>Cách dùng: chỉ sửa cột Bắt đầu / Kết thúc của công việc con và chọn Trạng Thái từ danh sách; biểu đồ Gantt và ngày của giai đoạn tự cập nhật. Điền tên GVHD ở sheet "Nhân sự".</t>
  </si>
  <si>
    <t>Vai trò</t>
  </si>
  <si>
    <t>Họ tên</t>
  </si>
  <si>
    <t>Nhiệm vụ chính</t>
  </si>
  <si>
    <t>Sinh viên thực hiện</t>
  </si>
  <si>
    <t>Làm toàn bộ dự án: quản lý tiến độ, phân tích, thiết kế, backend, frontend, AI agent, kiểm thử, in 3D, báo cáo</t>
  </si>
  <si>
    <t>Giảng viên hướng dẫn: duyệt đề tài, góp ý sau mỗi sprint, duyệt báo cáo</t>
  </si>
  <si>
    <t>Nhân viên hỗ trợ tiếp cận / người khiếm thị: kiểm thử bản đồ in 3D</t>
  </si>
  <si>
    <t>Ô màu vàng: điền họ tên giảng viên hướng dẫn và người dùng tham gia.</t>
  </si>
  <si>
    <t>README, docs/idea.md</t>
  </si>
  <si>
    <t>Khảo sát sản phẩm tương tự (Touch Mapper, TMAP, 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</si>
</sst>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dd/mm/yyyy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b/>
      <sz val="9"/>
      <name val="Calibri"/>
    </font>
    <font>
      <b/>
      <sz val="8"/>
      <name val="Calibri"/>
    </font>
    <font>
      <sz val="11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2EFDA"/>
      </patternFill>
    </fill>
    <fill>
      <patternFill patternType="solid">
        <fgColor rgb="FF375623"/>
        <bgColor rgb="FF375623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rgb="FFA6A6A6"/>
        <bgColor rgb="FFA6A6A6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64" fontId="5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 inden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0" xfId="0" applyFont="1"/>
    <xf numFmtId="0" fontId="0" fillId="4" borderId="0" xfId="0" applyFill="1"/>
    <xf numFmtId="0" fontId="7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10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375623"/>
          <bgColor rgb="FF37562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85"/>
  <sheetViews>
    <sheetView tabSelected="1" zoomScale="85" workbookViewId="0">
      <pane xSplit="9" ySplit="4" topLeftCell="J5" activePane="bottomRight" state="frozen"/>
      <selection pane="topRight"/>
      <selection pane="bottomLeft"/>
      <selection pane="bottomRight" sqref="A1:I1"/>
    </sheetView>
  </sheetViews>
  <sheetFormatPr defaultRowHeight="15" x14ac:dyDescent="0.25"/>
  <cols>
    <col min="1" max="1" width="7" customWidth="1"/>
    <col min="2" max="2" width="70" customWidth="1"/>
    <col min="3" max="3" width="15" customWidth="1"/>
    <col min="4" max="4" width="12" customWidth="1"/>
    <col min="5" max="6" width="11" customWidth="1"/>
    <col min="7" max="7" width="8" customWidth="1"/>
    <col min="8" max="8" width="14" customWidth="1"/>
    <col min="9" max="9" width="38" customWidth="1"/>
    <col min="10" max="128" width="3.140625" customWidth="1"/>
  </cols>
  <sheetData>
    <row r="1" spans="1:128" ht="18.75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</row>
    <row r="2" spans="1:128" x14ac:dyDescent="0.25">
      <c r="A2" s="29" t="s">
        <v>1</v>
      </c>
      <c r="B2" s="28"/>
      <c r="C2" s="28"/>
      <c r="D2" s="28"/>
      <c r="E2" s="28"/>
      <c r="F2" s="28"/>
      <c r="G2" s="28"/>
      <c r="H2" s="28"/>
      <c r="I2" s="28"/>
    </row>
    <row r="3" spans="1:128" ht="30" customHeight="1" x14ac:dyDescent="0.25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3" t="str">
        <f>"Tuần 1: "&amp;TEXT(J4,"dd/mm")&amp;"–"&amp;TEXT(P4,"dd/mm")</f>
        <v>Tuần 1: 07/09–13/09</v>
      </c>
      <c r="K3" s="24"/>
      <c r="L3" s="24"/>
      <c r="M3" s="24"/>
      <c r="N3" s="24"/>
      <c r="O3" s="24"/>
      <c r="P3" s="25"/>
      <c r="Q3" s="23" t="str">
        <f>"Tuần 2: "&amp;TEXT(Q4,"dd/mm")&amp;"–"&amp;TEXT(W4,"dd/mm")</f>
        <v>Tuần 2: 14/09–20/09</v>
      </c>
      <c r="R3" s="24"/>
      <c r="S3" s="24"/>
      <c r="T3" s="24"/>
      <c r="U3" s="24"/>
      <c r="V3" s="24"/>
      <c r="W3" s="25"/>
      <c r="X3" s="23" t="str">
        <f>"Tuần 3: "&amp;TEXT(X4,"dd/mm")&amp;"–"&amp;TEXT(AD4,"dd/mm")</f>
        <v>Tuần 3: 21/09–27/09</v>
      </c>
      <c r="Y3" s="24"/>
      <c r="Z3" s="24"/>
      <c r="AA3" s="24"/>
      <c r="AB3" s="24"/>
      <c r="AC3" s="24"/>
      <c r="AD3" s="25"/>
      <c r="AE3" s="23" t="str">
        <f>"Tuần 4: "&amp;TEXT(AE4,"dd/mm")&amp;"–"&amp;TEXT(AK4,"dd/mm")</f>
        <v>Tuần 4: 28/09–04/10</v>
      </c>
      <c r="AF3" s="24"/>
      <c r="AG3" s="24"/>
      <c r="AH3" s="24"/>
      <c r="AI3" s="24"/>
      <c r="AJ3" s="24"/>
      <c r="AK3" s="25"/>
      <c r="AL3" s="23" t="str">
        <f>"Tuần 5: "&amp;TEXT(AL4,"dd/mm")&amp;"–"&amp;TEXT(AR4,"dd/mm")</f>
        <v>Tuần 5: 05/10–11/10</v>
      </c>
      <c r="AM3" s="24"/>
      <c r="AN3" s="24"/>
      <c r="AO3" s="24"/>
      <c r="AP3" s="24"/>
      <c r="AQ3" s="24"/>
      <c r="AR3" s="25"/>
      <c r="AS3" s="23" t="str">
        <f>"Tuần 6: "&amp;TEXT(AS4,"dd/mm")&amp;"–"&amp;TEXT(AY4,"dd/mm")</f>
        <v>Tuần 6: 12/10–18/10</v>
      </c>
      <c r="AT3" s="24"/>
      <c r="AU3" s="24"/>
      <c r="AV3" s="24"/>
      <c r="AW3" s="24"/>
      <c r="AX3" s="24"/>
      <c r="AY3" s="25"/>
      <c r="AZ3" s="23" t="str">
        <f>"Tuần 7: "&amp;TEXT(AZ4,"dd/mm")&amp;"–"&amp;TEXT(BF4,"dd/mm")</f>
        <v>Tuần 7: 19/10–25/10</v>
      </c>
      <c r="BA3" s="24"/>
      <c r="BB3" s="24"/>
      <c r="BC3" s="24"/>
      <c r="BD3" s="24"/>
      <c r="BE3" s="24"/>
      <c r="BF3" s="25"/>
      <c r="BG3" s="23" t="str">
        <f>"Tuần 8: "&amp;TEXT(BG4,"dd/mm")&amp;"–"&amp;TEXT(BM4,"dd/mm")</f>
        <v>Tuần 8: 26/10–01/11</v>
      </c>
      <c r="BH3" s="24"/>
      <c r="BI3" s="24"/>
      <c r="BJ3" s="24"/>
      <c r="BK3" s="24"/>
      <c r="BL3" s="24"/>
      <c r="BM3" s="25"/>
      <c r="BN3" s="23" t="str">
        <f>"Tuần 9: "&amp;TEXT(BN4,"dd/mm")&amp;"–"&amp;TEXT(BT4,"dd/mm")</f>
        <v>Tuần 9: 02/11–08/11</v>
      </c>
      <c r="BO3" s="24"/>
      <c r="BP3" s="24"/>
      <c r="BQ3" s="24"/>
      <c r="BR3" s="24"/>
      <c r="BS3" s="24"/>
      <c r="BT3" s="25"/>
      <c r="BU3" s="23" t="str">
        <f>"Tuần 10: "&amp;TEXT(BU4,"dd/mm")&amp;"–"&amp;TEXT(CA4,"dd/mm")</f>
        <v>Tuần 10: 09/11–15/11</v>
      </c>
      <c r="BV3" s="24"/>
      <c r="BW3" s="24"/>
      <c r="BX3" s="24"/>
      <c r="BY3" s="24"/>
      <c r="BZ3" s="24"/>
      <c r="CA3" s="25"/>
      <c r="CB3" s="23" t="str">
        <f>"Tuần 11: "&amp;TEXT(CB4,"dd/mm")&amp;"–"&amp;TEXT(CH4,"dd/mm")</f>
        <v>Tuần 11: 16/11–22/11</v>
      </c>
      <c r="CC3" s="24"/>
      <c r="CD3" s="24"/>
      <c r="CE3" s="24"/>
      <c r="CF3" s="24"/>
      <c r="CG3" s="24"/>
      <c r="CH3" s="25"/>
      <c r="CI3" s="23" t="str">
        <f>"Tuần 12: "&amp;TEXT(CI4,"dd/mm")&amp;"–"&amp;TEXT(CO4,"dd/mm")</f>
        <v>Tuần 12: 23/11–29/11</v>
      </c>
      <c r="CJ3" s="24"/>
      <c r="CK3" s="24"/>
      <c r="CL3" s="24"/>
      <c r="CM3" s="24"/>
      <c r="CN3" s="24"/>
      <c r="CO3" s="25"/>
      <c r="CP3" s="23" t="str">
        <f>"Tuần 13: "&amp;TEXT(CP4,"dd/mm")&amp;"–"&amp;TEXT(CV4,"dd/mm")</f>
        <v>Tuần 13: 30/11–06/12</v>
      </c>
      <c r="CQ3" s="24"/>
      <c r="CR3" s="24"/>
      <c r="CS3" s="24"/>
      <c r="CT3" s="24"/>
      <c r="CU3" s="24"/>
      <c r="CV3" s="25"/>
      <c r="CW3" s="23" t="str">
        <f>"Tuần 14: "&amp;TEXT(CW4,"dd/mm")&amp;"–"&amp;TEXT(DC4,"dd/mm")</f>
        <v>Tuần 14: 07/12–13/12</v>
      </c>
      <c r="CX3" s="24"/>
      <c r="CY3" s="24"/>
      <c r="CZ3" s="24"/>
      <c r="DA3" s="24"/>
      <c r="DB3" s="24"/>
      <c r="DC3" s="25"/>
      <c r="DD3" s="23" t="str">
        <f>"Tuần 15: "&amp;TEXT(DD4,"dd/mm")&amp;"–"&amp;TEXT(DJ4,"dd/mm")</f>
        <v>Tuần 15: 14/12–20/12</v>
      </c>
      <c r="DE3" s="24"/>
      <c r="DF3" s="24"/>
      <c r="DG3" s="24"/>
      <c r="DH3" s="24"/>
      <c r="DI3" s="24"/>
      <c r="DJ3" s="25"/>
      <c r="DK3" s="23" t="str">
        <f>"Tuần 16: "&amp;TEXT(DK4,"dd/mm")&amp;"–"&amp;TEXT(DQ4,"dd/mm")</f>
        <v>Tuần 16: 21/12–27/12</v>
      </c>
      <c r="DL3" s="24"/>
      <c r="DM3" s="24"/>
      <c r="DN3" s="24"/>
      <c r="DO3" s="24"/>
      <c r="DP3" s="24"/>
      <c r="DQ3" s="25"/>
      <c r="DR3" s="23" t="str">
        <f>"Tuần 17: "&amp;TEXT(DR4,"dd/mm")&amp;"–"&amp;TEXT(DX4,"dd/mm")</f>
        <v>Tuần 17: 28/12–03/01</v>
      </c>
      <c r="DS3" s="24"/>
      <c r="DT3" s="24"/>
      <c r="DU3" s="24"/>
      <c r="DV3" s="24"/>
      <c r="DW3" s="24"/>
      <c r="DX3" s="25"/>
    </row>
    <row r="4" spans="1:128" x14ac:dyDescent="0.25">
      <c r="A4" s="26"/>
      <c r="B4" s="26"/>
      <c r="C4" s="26"/>
      <c r="D4" s="26"/>
      <c r="E4" s="26"/>
      <c r="F4" s="26"/>
      <c r="G4" s="26"/>
      <c r="H4" s="26"/>
      <c r="I4" s="26"/>
      <c r="J4" s="2">
        <f>$E$5-WEEKDAY($E$5,2)+1</f>
        <v>46272</v>
      </c>
      <c r="K4" s="2">
        <f>$E$5-WEEKDAY($E$5,2)+2</f>
        <v>46273</v>
      </c>
      <c r="L4" s="2">
        <f>$E$5-WEEKDAY($E$5,2)+3</f>
        <v>46274</v>
      </c>
      <c r="M4" s="2">
        <f>$E$5-WEEKDAY($E$5,2)+4</f>
        <v>46275</v>
      </c>
      <c r="N4" s="2">
        <f>$E$5-WEEKDAY($E$5,2)+5</f>
        <v>46276</v>
      </c>
      <c r="O4" s="2">
        <f>$E$5-WEEKDAY($E$5,2)+6</f>
        <v>46277</v>
      </c>
      <c r="P4" s="2">
        <f>$E$5-WEEKDAY($E$5,2)+7</f>
        <v>46278</v>
      </c>
      <c r="Q4" s="2">
        <f>$E$5-WEEKDAY($E$5,2)+8</f>
        <v>46279</v>
      </c>
      <c r="R4" s="2">
        <f>$E$5-WEEKDAY($E$5,2)+9</f>
        <v>46280</v>
      </c>
      <c r="S4" s="2">
        <f>$E$5-WEEKDAY($E$5,2)+10</f>
        <v>46281</v>
      </c>
      <c r="T4" s="2">
        <f>$E$5-WEEKDAY($E$5,2)+11</f>
        <v>46282</v>
      </c>
      <c r="U4" s="2">
        <f>$E$5-WEEKDAY($E$5,2)+12</f>
        <v>46283</v>
      </c>
      <c r="V4" s="2">
        <f>$E$5-WEEKDAY($E$5,2)+13</f>
        <v>46284</v>
      </c>
      <c r="W4" s="2">
        <f>$E$5-WEEKDAY($E$5,2)+14</f>
        <v>46285</v>
      </c>
      <c r="X4" s="2">
        <f>$E$5-WEEKDAY($E$5,2)+15</f>
        <v>46286</v>
      </c>
      <c r="Y4" s="2">
        <f>$E$5-WEEKDAY($E$5,2)+16</f>
        <v>46287</v>
      </c>
      <c r="Z4" s="2">
        <f>$E$5-WEEKDAY($E$5,2)+17</f>
        <v>46288</v>
      </c>
      <c r="AA4" s="2">
        <f>$E$5-WEEKDAY($E$5,2)+18</f>
        <v>46289</v>
      </c>
      <c r="AB4" s="2">
        <f>$E$5-WEEKDAY($E$5,2)+19</f>
        <v>46290</v>
      </c>
      <c r="AC4" s="2">
        <f>$E$5-WEEKDAY($E$5,2)+20</f>
        <v>46291</v>
      </c>
      <c r="AD4" s="2">
        <f>$E$5-WEEKDAY($E$5,2)+21</f>
        <v>46292</v>
      </c>
      <c r="AE4" s="2">
        <f>$E$5-WEEKDAY($E$5,2)+22</f>
        <v>46293</v>
      </c>
      <c r="AF4" s="2">
        <f>$E$5-WEEKDAY($E$5,2)+23</f>
        <v>46294</v>
      </c>
      <c r="AG4" s="2">
        <f>$E$5-WEEKDAY($E$5,2)+24</f>
        <v>46295</v>
      </c>
      <c r="AH4" s="2">
        <f>$E$5-WEEKDAY($E$5,2)+25</f>
        <v>46296</v>
      </c>
      <c r="AI4" s="2">
        <f>$E$5-WEEKDAY($E$5,2)+26</f>
        <v>46297</v>
      </c>
      <c r="AJ4" s="2">
        <f>$E$5-WEEKDAY($E$5,2)+27</f>
        <v>46298</v>
      </c>
      <c r="AK4" s="2">
        <f>$E$5-WEEKDAY($E$5,2)+28</f>
        <v>46299</v>
      </c>
      <c r="AL4" s="2">
        <f>$E$5-WEEKDAY($E$5,2)+29</f>
        <v>46300</v>
      </c>
      <c r="AM4" s="2">
        <f>$E$5-WEEKDAY($E$5,2)+30</f>
        <v>46301</v>
      </c>
      <c r="AN4" s="2">
        <f>$E$5-WEEKDAY($E$5,2)+31</f>
        <v>46302</v>
      </c>
      <c r="AO4" s="2">
        <f>$E$5-WEEKDAY($E$5,2)+32</f>
        <v>46303</v>
      </c>
      <c r="AP4" s="2">
        <f>$E$5-WEEKDAY($E$5,2)+33</f>
        <v>46304</v>
      </c>
      <c r="AQ4" s="2">
        <f>$E$5-WEEKDAY($E$5,2)+34</f>
        <v>46305</v>
      </c>
      <c r="AR4" s="2">
        <f>$E$5-WEEKDAY($E$5,2)+35</f>
        <v>46306</v>
      </c>
      <c r="AS4" s="2">
        <f>$E$5-WEEKDAY($E$5,2)+36</f>
        <v>46307</v>
      </c>
      <c r="AT4" s="2">
        <f>$E$5-WEEKDAY($E$5,2)+37</f>
        <v>46308</v>
      </c>
      <c r="AU4" s="2">
        <f>$E$5-WEEKDAY($E$5,2)+38</f>
        <v>46309</v>
      </c>
      <c r="AV4" s="2">
        <f>$E$5-WEEKDAY($E$5,2)+39</f>
        <v>46310</v>
      </c>
      <c r="AW4" s="2">
        <f>$E$5-WEEKDAY($E$5,2)+40</f>
        <v>46311</v>
      </c>
      <c r="AX4" s="2">
        <f>$E$5-WEEKDAY($E$5,2)+41</f>
        <v>46312</v>
      </c>
      <c r="AY4" s="2">
        <f>$E$5-WEEKDAY($E$5,2)+42</f>
        <v>46313</v>
      </c>
      <c r="AZ4" s="2">
        <f>$E$5-WEEKDAY($E$5,2)+43</f>
        <v>46314</v>
      </c>
      <c r="BA4" s="2">
        <f>$E$5-WEEKDAY($E$5,2)+44</f>
        <v>46315</v>
      </c>
      <c r="BB4" s="2">
        <f>$E$5-WEEKDAY($E$5,2)+45</f>
        <v>46316</v>
      </c>
      <c r="BC4" s="2">
        <f>$E$5-WEEKDAY($E$5,2)+46</f>
        <v>46317</v>
      </c>
      <c r="BD4" s="2">
        <f>$E$5-WEEKDAY($E$5,2)+47</f>
        <v>46318</v>
      </c>
      <c r="BE4" s="2">
        <f>$E$5-WEEKDAY($E$5,2)+48</f>
        <v>46319</v>
      </c>
      <c r="BF4" s="2">
        <f>$E$5-WEEKDAY($E$5,2)+49</f>
        <v>46320</v>
      </c>
      <c r="BG4" s="2">
        <f>$E$5-WEEKDAY($E$5,2)+50</f>
        <v>46321</v>
      </c>
      <c r="BH4" s="2">
        <f>$E$5-WEEKDAY($E$5,2)+51</f>
        <v>46322</v>
      </c>
      <c r="BI4" s="2">
        <f>$E$5-WEEKDAY($E$5,2)+52</f>
        <v>46323</v>
      </c>
      <c r="BJ4" s="2">
        <f>$E$5-WEEKDAY($E$5,2)+53</f>
        <v>46324</v>
      </c>
      <c r="BK4" s="2">
        <f>$E$5-WEEKDAY($E$5,2)+54</f>
        <v>46325</v>
      </c>
      <c r="BL4" s="2">
        <f>$E$5-WEEKDAY($E$5,2)+55</f>
        <v>46326</v>
      </c>
      <c r="BM4" s="2">
        <f>$E$5-WEEKDAY($E$5,2)+56</f>
        <v>46327</v>
      </c>
      <c r="BN4" s="2">
        <f>$E$5-WEEKDAY($E$5,2)+57</f>
        <v>46328</v>
      </c>
      <c r="BO4" s="2">
        <f>$E$5-WEEKDAY($E$5,2)+58</f>
        <v>46329</v>
      </c>
      <c r="BP4" s="2">
        <f>$E$5-WEEKDAY($E$5,2)+59</f>
        <v>46330</v>
      </c>
      <c r="BQ4" s="2">
        <f>$E$5-WEEKDAY($E$5,2)+60</f>
        <v>46331</v>
      </c>
      <c r="BR4" s="2">
        <f>$E$5-WEEKDAY($E$5,2)+61</f>
        <v>46332</v>
      </c>
      <c r="BS4" s="2">
        <f>$E$5-WEEKDAY($E$5,2)+62</f>
        <v>46333</v>
      </c>
      <c r="BT4" s="2">
        <f>$E$5-WEEKDAY($E$5,2)+63</f>
        <v>46334</v>
      </c>
      <c r="BU4" s="2">
        <f>$E$5-WEEKDAY($E$5,2)+64</f>
        <v>46335</v>
      </c>
      <c r="BV4" s="2">
        <f>$E$5-WEEKDAY($E$5,2)+65</f>
        <v>46336</v>
      </c>
      <c r="BW4" s="2">
        <f>$E$5-WEEKDAY($E$5,2)+66</f>
        <v>46337</v>
      </c>
      <c r="BX4" s="2">
        <f>$E$5-WEEKDAY($E$5,2)+67</f>
        <v>46338</v>
      </c>
      <c r="BY4" s="2">
        <f>$E$5-WEEKDAY($E$5,2)+68</f>
        <v>46339</v>
      </c>
      <c r="BZ4" s="2">
        <f>$E$5-WEEKDAY($E$5,2)+69</f>
        <v>46340</v>
      </c>
      <c r="CA4" s="2">
        <f>$E$5-WEEKDAY($E$5,2)+70</f>
        <v>46341</v>
      </c>
      <c r="CB4" s="2">
        <f>$E$5-WEEKDAY($E$5,2)+71</f>
        <v>46342</v>
      </c>
      <c r="CC4" s="2">
        <f>$E$5-WEEKDAY($E$5,2)+72</f>
        <v>46343</v>
      </c>
      <c r="CD4" s="2">
        <f>$E$5-WEEKDAY($E$5,2)+73</f>
        <v>46344</v>
      </c>
      <c r="CE4" s="2">
        <f>$E$5-WEEKDAY($E$5,2)+74</f>
        <v>46345</v>
      </c>
      <c r="CF4" s="2">
        <f>$E$5-WEEKDAY($E$5,2)+75</f>
        <v>46346</v>
      </c>
      <c r="CG4" s="2">
        <f>$E$5-WEEKDAY($E$5,2)+76</f>
        <v>46347</v>
      </c>
      <c r="CH4" s="2">
        <f>$E$5-WEEKDAY($E$5,2)+77</f>
        <v>46348</v>
      </c>
      <c r="CI4" s="2">
        <f>$E$5-WEEKDAY($E$5,2)+78</f>
        <v>46349</v>
      </c>
      <c r="CJ4" s="2">
        <f>$E$5-WEEKDAY($E$5,2)+79</f>
        <v>46350</v>
      </c>
      <c r="CK4" s="2">
        <f>$E$5-WEEKDAY($E$5,2)+80</f>
        <v>46351</v>
      </c>
      <c r="CL4" s="2">
        <f>$E$5-WEEKDAY($E$5,2)+81</f>
        <v>46352</v>
      </c>
      <c r="CM4" s="2">
        <f>$E$5-WEEKDAY($E$5,2)+82</f>
        <v>46353</v>
      </c>
      <c r="CN4" s="2">
        <f>$E$5-WEEKDAY($E$5,2)+83</f>
        <v>46354</v>
      </c>
      <c r="CO4" s="2">
        <f>$E$5-WEEKDAY($E$5,2)+84</f>
        <v>46355</v>
      </c>
      <c r="CP4" s="2">
        <f>$E$5-WEEKDAY($E$5,2)+85</f>
        <v>46356</v>
      </c>
      <c r="CQ4" s="2">
        <f>$E$5-WEEKDAY($E$5,2)+86</f>
        <v>46357</v>
      </c>
      <c r="CR4" s="2">
        <f>$E$5-WEEKDAY($E$5,2)+87</f>
        <v>46358</v>
      </c>
      <c r="CS4" s="2">
        <f>$E$5-WEEKDAY($E$5,2)+88</f>
        <v>46359</v>
      </c>
      <c r="CT4" s="2">
        <f>$E$5-WEEKDAY($E$5,2)+89</f>
        <v>46360</v>
      </c>
      <c r="CU4" s="2">
        <f>$E$5-WEEKDAY($E$5,2)+90</f>
        <v>46361</v>
      </c>
      <c r="CV4" s="2">
        <f>$E$5-WEEKDAY($E$5,2)+91</f>
        <v>46362</v>
      </c>
      <c r="CW4" s="2">
        <f>$E$5-WEEKDAY($E$5,2)+92</f>
        <v>46363</v>
      </c>
      <c r="CX4" s="2">
        <f>$E$5-WEEKDAY($E$5,2)+93</f>
        <v>46364</v>
      </c>
      <c r="CY4" s="2">
        <f>$E$5-WEEKDAY($E$5,2)+94</f>
        <v>46365</v>
      </c>
      <c r="CZ4" s="2">
        <f>$E$5-WEEKDAY($E$5,2)+95</f>
        <v>46366</v>
      </c>
      <c r="DA4" s="2">
        <f>$E$5-WEEKDAY($E$5,2)+96</f>
        <v>46367</v>
      </c>
      <c r="DB4" s="2">
        <f>$E$5-WEEKDAY($E$5,2)+97</f>
        <v>46368</v>
      </c>
      <c r="DC4" s="2">
        <f>$E$5-WEEKDAY($E$5,2)+98</f>
        <v>46369</v>
      </c>
      <c r="DD4" s="2">
        <f>$E$5-WEEKDAY($E$5,2)+99</f>
        <v>46370</v>
      </c>
      <c r="DE4" s="2">
        <f>$E$5-WEEKDAY($E$5,2)+100</f>
        <v>46371</v>
      </c>
      <c r="DF4" s="2">
        <f>$E$5-WEEKDAY($E$5,2)+101</f>
        <v>46372</v>
      </c>
      <c r="DG4" s="2">
        <f>$E$5-WEEKDAY($E$5,2)+102</f>
        <v>46373</v>
      </c>
      <c r="DH4" s="2">
        <f>$E$5-WEEKDAY($E$5,2)+103</f>
        <v>46374</v>
      </c>
      <c r="DI4" s="2">
        <f>$E$5-WEEKDAY($E$5,2)+104</f>
        <v>46375</v>
      </c>
      <c r="DJ4" s="2">
        <f>$E$5-WEEKDAY($E$5,2)+105</f>
        <v>46376</v>
      </c>
      <c r="DK4" s="2">
        <f>$E$5-WEEKDAY($E$5,2)+106</f>
        <v>46377</v>
      </c>
      <c r="DL4" s="2">
        <f>$E$5-WEEKDAY($E$5,2)+107</f>
        <v>46378</v>
      </c>
      <c r="DM4" s="2">
        <f>$E$5-WEEKDAY($E$5,2)+108</f>
        <v>46379</v>
      </c>
      <c r="DN4" s="2">
        <f>$E$5-WEEKDAY($E$5,2)+109</f>
        <v>46380</v>
      </c>
      <c r="DO4" s="2">
        <f>$E$5-WEEKDAY($E$5,2)+110</f>
        <v>46381</v>
      </c>
      <c r="DP4" s="2">
        <f>$E$5-WEEKDAY($E$5,2)+111</f>
        <v>46382</v>
      </c>
      <c r="DQ4" s="2">
        <f>$E$5-WEEKDAY($E$5,2)+112</f>
        <v>46383</v>
      </c>
      <c r="DR4" s="2">
        <f>$E$5-WEEKDAY($E$5,2)+113</f>
        <v>46384</v>
      </c>
      <c r="DS4" s="2">
        <f>$E$5-WEEKDAY($E$5,2)+114</f>
        <v>46385</v>
      </c>
      <c r="DT4" s="2">
        <f>$E$5-WEEKDAY($E$5,2)+115</f>
        <v>46386</v>
      </c>
      <c r="DU4" s="2">
        <f>$E$5-WEEKDAY($E$5,2)+116</f>
        <v>46387</v>
      </c>
      <c r="DV4" s="2">
        <f>$E$5-WEEKDAY($E$5,2)+117</f>
        <v>46388</v>
      </c>
      <c r="DW4" s="2">
        <f>$E$5-WEEKDAY($E$5,2)+118</f>
        <v>46389</v>
      </c>
      <c r="DX4" s="2">
        <f>$E$5-WEEKDAY($E$5,2)+119</f>
        <v>46390</v>
      </c>
    </row>
    <row r="5" spans="1:128" x14ac:dyDescent="0.25">
      <c r="A5" s="3">
        <v>1</v>
      </c>
      <c r="B5" s="4" t="s">
        <v>11</v>
      </c>
      <c r="C5" s="3" t="s">
        <v>12</v>
      </c>
      <c r="D5" s="3"/>
      <c r="E5" s="5">
        <f>MIN(E6:E11)</f>
        <v>46275</v>
      </c>
      <c r="F5" s="5">
        <f>MAX(F6:F11)</f>
        <v>46287</v>
      </c>
      <c r="G5" s="3">
        <f t="shared" ref="G5:G36" si="0">F5-E5+1</f>
        <v>13</v>
      </c>
      <c r="H5" s="3" t="str">
        <f>IF(COUNTIF(H6:H11,"Hoàn thành")=ROWS(H6:H11),"Hoàn thành",IF(COUNTIF(H6:H11,"Quá hạn")&gt;0,"Quá hạn",IF(COUNTIF(H6:H11,"Chưa bắt đầu")=ROWS(H6:H11),"Chưa bắt đầu","Đang thực hiện")))</f>
        <v>Quá hạn</v>
      </c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</row>
    <row r="6" spans="1:128" x14ac:dyDescent="0.25">
      <c r="A6" s="7" t="s">
        <v>13</v>
      </c>
      <c r="B6" s="8" t="s">
        <v>14</v>
      </c>
      <c r="C6" s="7" t="s">
        <v>12</v>
      </c>
      <c r="D6" s="7"/>
      <c r="E6" s="9">
        <v>46275</v>
      </c>
      <c r="F6" s="9">
        <v>46276</v>
      </c>
      <c r="G6" s="7">
        <f t="shared" si="0"/>
        <v>2</v>
      </c>
      <c r="H6" s="7" t="s">
        <v>15</v>
      </c>
      <c r="I6" s="10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</row>
    <row r="7" spans="1:128" x14ac:dyDescent="0.25">
      <c r="A7" s="7" t="s">
        <v>17</v>
      </c>
      <c r="B7" s="8" t="s">
        <v>18</v>
      </c>
      <c r="C7" s="7" t="s">
        <v>12</v>
      </c>
      <c r="D7" s="7"/>
      <c r="E7" s="9">
        <v>46276</v>
      </c>
      <c r="F7" s="9">
        <v>46280</v>
      </c>
      <c r="G7" s="7">
        <f t="shared" si="0"/>
        <v>5</v>
      </c>
      <c r="H7" s="7" t="s">
        <v>15</v>
      </c>
      <c r="I7" s="10" t="s">
        <v>19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</row>
    <row r="8" spans="1:128" ht="30" x14ac:dyDescent="0.25">
      <c r="A8" s="7" t="s">
        <v>20</v>
      </c>
      <c r="B8" s="8" t="s">
        <v>21</v>
      </c>
      <c r="C8" s="7" t="s">
        <v>12</v>
      </c>
      <c r="D8" s="7" t="s">
        <v>22</v>
      </c>
      <c r="E8" s="9">
        <v>46281</v>
      </c>
      <c r="F8" s="9">
        <v>46281</v>
      </c>
      <c r="G8" s="7">
        <f t="shared" si="0"/>
        <v>1</v>
      </c>
      <c r="H8" s="7" t="s">
        <v>23</v>
      </c>
      <c r="I8" s="10" t="s">
        <v>24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</row>
    <row r="9" spans="1:128" x14ac:dyDescent="0.25">
      <c r="A9" s="7" t="s">
        <v>25</v>
      </c>
      <c r="B9" s="8" t="s">
        <v>26</v>
      </c>
      <c r="C9" s="7" t="s">
        <v>12</v>
      </c>
      <c r="D9" s="7"/>
      <c r="E9" s="9">
        <v>46282</v>
      </c>
      <c r="F9" s="9">
        <v>46283</v>
      </c>
      <c r="G9" s="7">
        <f t="shared" si="0"/>
        <v>2</v>
      </c>
      <c r="H9" s="7" t="s">
        <v>15</v>
      </c>
      <c r="I9" s="10" t="s">
        <v>27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</row>
    <row r="10" spans="1:128" x14ac:dyDescent="0.25">
      <c r="A10" s="7" t="s">
        <v>28</v>
      </c>
      <c r="B10" s="8" t="s">
        <v>29</v>
      </c>
      <c r="C10" s="7" t="s">
        <v>12</v>
      </c>
      <c r="D10" s="7"/>
      <c r="E10" s="9">
        <v>46284</v>
      </c>
      <c r="F10" s="9">
        <v>46285</v>
      </c>
      <c r="G10" s="7">
        <f t="shared" si="0"/>
        <v>2</v>
      </c>
      <c r="H10" s="7" t="s">
        <v>15</v>
      </c>
      <c r="I10" s="10" t="s">
        <v>30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</row>
    <row r="11" spans="1:128" ht="30" x14ac:dyDescent="0.25">
      <c r="A11" s="7" t="s">
        <v>31</v>
      </c>
      <c r="B11" s="8" t="s">
        <v>32</v>
      </c>
      <c r="C11" s="7" t="s">
        <v>12</v>
      </c>
      <c r="D11" s="7" t="s">
        <v>22</v>
      </c>
      <c r="E11" s="9">
        <v>46286</v>
      </c>
      <c r="F11" s="9">
        <v>46287</v>
      </c>
      <c r="G11" s="7">
        <f t="shared" si="0"/>
        <v>2</v>
      </c>
      <c r="H11" s="7" t="s">
        <v>23</v>
      </c>
      <c r="I11" s="10" t="s">
        <v>33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</row>
    <row r="12" spans="1:128" x14ac:dyDescent="0.25">
      <c r="A12" s="3">
        <v>2</v>
      </c>
      <c r="B12" s="4" t="s">
        <v>34</v>
      </c>
      <c r="C12" s="3" t="s">
        <v>12</v>
      </c>
      <c r="D12" s="3"/>
      <c r="E12" s="5">
        <f>MIN(E13:E17)</f>
        <v>46288</v>
      </c>
      <c r="F12" s="5">
        <f>MAX(F13:F17)</f>
        <v>46299</v>
      </c>
      <c r="G12" s="3">
        <f t="shared" si="0"/>
        <v>12</v>
      </c>
      <c r="H12" s="3" t="str">
        <f>IF(COUNTIF(H13:H17,"Hoàn thành")=ROWS(H13:H17),"Hoàn thành",IF(COUNTIF(H13:H17,"Quá hạn")&gt;0,"Quá hạn",IF(COUNTIF(H13:H17,"Chưa bắt đầu")=ROWS(H13:H17),"Chưa bắt đầu","Đang thực hiện")))</f>
        <v>Quá hạn</v>
      </c>
      <c r="I12" s="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</row>
    <row r="13" spans="1:128" x14ac:dyDescent="0.25">
      <c r="A13" s="7" t="s">
        <v>35</v>
      </c>
      <c r="B13" s="8" t="s">
        <v>36</v>
      </c>
      <c r="C13" s="7" t="s">
        <v>12</v>
      </c>
      <c r="D13" s="7"/>
      <c r="E13" s="9">
        <v>46288</v>
      </c>
      <c r="F13" s="9">
        <v>46290</v>
      </c>
      <c r="G13" s="7">
        <f t="shared" si="0"/>
        <v>3</v>
      </c>
      <c r="H13" s="7" t="s">
        <v>15</v>
      </c>
      <c r="I13" s="10" t="s">
        <v>37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</row>
    <row r="14" spans="1:128" x14ac:dyDescent="0.25">
      <c r="A14" s="7" t="s">
        <v>38</v>
      </c>
      <c r="B14" s="8" t="s">
        <v>221</v>
      </c>
      <c r="C14" s="7" t="s">
        <v>12</v>
      </c>
      <c r="D14" s="7"/>
      <c r="E14" s="9">
        <v>46291</v>
      </c>
      <c r="F14" s="9">
        <v>46292</v>
      </c>
      <c r="G14" s="7">
        <f t="shared" si="0"/>
        <v>2</v>
      </c>
      <c r="H14" s="7" t="s">
        <v>15</v>
      </c>
      <c r="I14" s="10" t="s">
        <v>220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</row>
    <row r="15" spans="1:128" ht="45" x14ac:dyDescent="0.25">
      <c r="A15" s="7" t="s">
        <v>39</v>
      </c>
      <c r="B15" s="8" t="s">
        <v>40</v>
      </c>
      <c r="C15" s="7" t="s">
        <v>12</v>
      </c>
      <c r="D15" s="7"/>
      <c r="E15" s="9">
        <v>46291</v>
      </c>
      <c r="F15" s="9">
        <v>46297</v>
      </c>
      <c r="G15" s="7">
        <f t="shared" si="0"/>
        <v>7</v>
      </c>
      <c r="H15" s="7" t="s">
        <v>15</v>
      </c>
      <c r="I15" s="10" t="s">
        <v>41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</row>
    <row r="16" spans="1:128" x14ac:dyDescent="0.25">
      <c r="A16" s="7" t="s">
        <v>42</v>
      </c>
      <c r="B16" s="8" t="s">
        <v>43</v>
      </c>
      <c r="C16" s="7" t="s">
        <v>12</v>
      </c>
      <c r="D16" s="7"/>
      <c r="E16" s="9">
        <v>46296</v>
      </c>
      <c r="F16" s="9">
        <v>46297</v>
      </c>
      <c r="G16" s="7">
        <f t="shared" si="0"/>
        <v>2</v>
      </c>
      <c r="H16" s="7" t="s">
        <v>15</v>
      </c>
      <c r="I16" s="10" t="s">
        <v>19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</row>
    <row r="17" spans="1:128" x14ac:dyDescent="0.25">
      <c r="A17" s="7" t="s">
        <v>44</v>
      </c>
      <c r="B17" s="8" t="s">
        <v>45</v>
      </c>
      <c r="C17" s="7" t="s">
        <v>12</v>
      </c>
      <c r="D17" s="7"/>
      <c r="E17" s="9">
        <v>46297</v>
      </c>
      <c r="F17" s="9">
        <v>46299</v>
      </c>
      <c r="G17" s="7">
        <f t="shared" si="0"/>
        <v>3</v>
      </c>
      <c r="H17" s="7" t="s">
        <v>23</v>
      </c>
      <c r="I17" s="10" t="s">
        <v>46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</row>
    <row r="18" spans="1:128" ht="30" x14ac:dyDescent="0.25">
      <c r="A18" s="3">
        <v>3</v>
      </c>
      <c r="B18" s="4" t="s">
        <v>47</v>
      </c>
      <c r="C18" s="3" t="s">
        <v>12</v>
      </c>
      <c r="D18" s="3"/>
      <c r="E18" s="5">
        <f>MIN(E19:E26)</f>
        <v>46301</v>
      </c>
      <c r="F18" s="5">
        <f>MAX(F19:F26)</f>
        <v>46311</v>
      </c>
      <c r="G18" s="3">
        <f t="shared" si="0"/>
        <v>11</v>
      </c>
      <c r="H18" s="3" t="str">
        <f>IF(COUNTIF(H19:H26,"Hoàn thành")=ROWS(H19:H26),"Hoàn thành",IF(COUNTIF(H19:H26,"Quá hạn")&gt;0,"Quá hạn",IF(COUNTIF(H19:H26,"Chưa bắt đầu")=ROWS(H19:H26),"Chưa bắt đầu","Đang thực hiện")))</f>
        <v>Đang thực hiện</v>
      </c>
      <c r="I18" s="4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</row>
    <row r="19" spans="1:128" ht="30" x14ac:dyDescent="0.25">
      <c r="A19" s="7" t="s">
        <v>48</v>
      </c>
      <c r="B19" s="8" t="s">
        <v>49</v>
      </c>
      <c r="C19" s="7" t="s">
        <v>12</v>
      </c>
      <c r="D19" s="7"/>
      <c r="E19" s="9">
        <v>46301</v>
      </c>
      <c r="F19" s="9">
        <v>46302</v>
      </c>
      <c r="G19" s="7">
        <f t="shared" si="0"/>
        <v>2</v>
      </c>
      <c r="H19" s="7" t="s">
        <v>15</v>
      </c>
      <c r="I19" s="10" t="s">
        <v>50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</row>
    <row r="20" spans="1:128" x14ac:dyDescent="0.25">
      <c r="A20" s="7" t="s">
        <v>51</v>
      </c>
      <c r="B20" s="8" t="s">
        <v>52</v>
      </c>
      <c r="C20" s="7" t="s">
        <v>12</v>
      </c>
      <c r="D20" s="7"/>
      <c r="E20" s="9">
        <v>46303</v>
      </c>
      <c r="F20" s="9">
        <v>46303</v>
      </c>
      <c r="G20" s="7">
        <f t="shared" si="0"/>
        <v>1</v>
      </c>
      <c r="H20" s="7" t="s">
        <v>15</v>
      </c>
      <c r="I20" s="10" t="s">
        <v>53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</row>
    <row r="21" spans="1:128" x14ac:dyDescent="0.25">
      <c r="A21" s="7" t="s">
        <v>54</v>
      </c>
      <c r="B21" s="8" t="s">
        <v>55</v>
      </c>
      <c r="C21" s="7" t="s">
        <v>12</v>
      </c>
      <c r="D21" s="7"/>
      <c r="E21" s="9">
        <v>46304</v>
      </c>
      <c r="F21" s="9">
        <v>46304</v>
      </c>
      <c r="G21" s="7">
        <f t="shared" si="0"/>
        <v>1</v>
      </c>
      <c r="H21" s="7" t="s">
        <v>15</v>
      </c>
      <c r="I21" s="10" t="s">
        <v>56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</row>
    <row r="22" spans="1:128" x14ac:dyDescent="0.25">
      <c r="A22" s="7" t="s">
        <v>57</v>
      </c>
      <c r="B22" s="8" t="s">
        <v>58</v>
      </c>
      <c r="C22" s="7" t="s">
        <v>12</v>
      </c>
      <c r="D22" s="7"/>
      <c r="E22" s="9">
        <v>46305</v>
      </c>
      <c r="F22" s="9">
        <v>46306</v>
      </c>
      <c r="G22" s="7">
        <f t="shared" si="0"/>
        <v>2</v>
      </c>
      <c r="H22" s="7" t="s">
        <v>15</v>
      </c>
      <c r="I22" s="10" t="s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</row>
    <row r="23" spans="1:128" x14ac:dyDescent="0.25">
      <c r="A23" s="7" t="s">
        <v>60</v>
      </c>
      <c r="B23" s="8" t="s">
        <v>61</v>
      </c>
      <c r="C23" s="7" t="s">
        <v>12</v>
      </c>
      <c r="D23" s="7"/>
      <c r="E23" s="9">
        <v>46307</v>
      </c>
      <c r="F23" s="9">
        <v>46308</v>
      </c>
      <c r="G23" s="7">
        <f t="shared" si="0"/>
        <v>2</v>
      </c>
      <c r="H23" s="7" t="s">
        <v>15</v>
      </c>
      <c r="I23" s="10" t="s">
        <v>62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</row>
    <row r="24" spans="1:128" x14ac:dyDescent="0.25">
      <c r="A24" s="7" t="s">
        <v>63</v>
      </c>
      <c r="B24" s="8" t="s">
        <v>64</v>
      </c>
      <c r="C24" s="7" t="s">
        <v>12</v>
      </c>
      <c r="D24" s="7"/>
      <c r="E24" s="9">
        <v>46308</v>
      </c>
      <c r="F24" s="9">
        <v>46309</v>
      </c>
      <c r="G24" s="7">
        <f t="shared" si="0"/>
        <v>2</v>
      </c>
      <c r="H24" s="7" t="s">
        <v>15</v>
      </c>
      <c r="I24" s="10" t="s">
        <v>65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</row>
    <row r="25" spans="1:128" x14ac:dyDescent="0.25">
      <c r="A25" s="7" t="s">
        <v>66</v>
      </c>
      <c r="B25" s="8" t="s">
        <v>67</v>
      </c>
      <c r="C25" s="7" t="s">
        <v>12</v>
      </c>
      <c r="D25" s="7"/>
      <c r="E25" s="9">
        <v>46309</v>
      </c>
      <c r="F25" s="9">
        <v>46310</v>
      </c>
      <c r="G25" s="7">
        <f t="shared" si="0"/>
        <v>2</v>
      </c>
      <c r="H25" s="7" t="s">
        <v>15</v>
      </c>
      <c r="I25" s="10" t="s">
        <v>68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</row>
    <row r="26" spans="1:128" ht="30" x14ac:dyDescent="0.25">
      <c r="A26" s="7" t="s">
        <v>69</v>
      </c>
      <c r="B26" s="8" t="s">
        <v>70</v>
      </c>
      <c r="C26" s="7" t="s">
        <v>12</v>
      </c>
      <c r="D26" s="7" t="s">
        <v>22</v>
      </c>
      <c r="E26" s="9">
        <v>46311</v>
      </c>
      <c r="F26" s="9">
        <v>46311</v>
      </c>
      <c r="G26" s="7">
        <f t="shared" si="0"/>
        <v>1</v>
      </c>
      <c r="H26" s="7" t="s">
        <v>71</v>
      </c>
      <c r="I26" s="10" t="s">
        <v>72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</row>
    <row r="27" spans="1:128" ht="30" x14ac:dyDescent="0.25">
      <c r="A27" s="3">
        <v>4</v>
      </c>
      <c r="B27" s="4" t="s">
        <v>73</v>
      </c>
      <c r="C27" s="3" t="s">
        <v>12</v>
      </c>
      <c r="D27" s="3"/>
      <c r="E27" s="5">
        <f>MIN(E28:E34)</f>
        <v>46314</v>
      </c>
      <c r="F27" s="5">
        <f>MAX(F28:F34)</f>
        <v>46328</v>
      </c>
      <c r="G27" s="3">
        <f t="shared" si="0"/>
        <v>15</v>
      </c>
      <c r="H27" s="3" t="str">
        <f>IF(COUNTIF(H28:H34,"Hoàn thành")=ROWS(H28:H34),"Hoàn thành",IF(COUNTIF(H28:H34,"Quá hạn")&gt;0,"Quá hạn",IF(COUNTIF(H28:H34,"Chưa bắt đầu")=ROWS(H28:H34),"Chưa bắt đầu","Đang thực hiện")))</f>
        <v>Đang thực hiện</v>
      </c>
      <c r="I27" s="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</row>
    <row r="28" spans="1:128" x14ac:dyDescent="0.25">
      <c r="A28" s="7" t="s">
        <v>74</v>
      </c>
      <c r="B28" s="8" t="s">
        <v>75</v>
      </c>
      <c r="C28" s="7" t="s">
        <v>12</v>
      </c>
      <c r="D28" s="7"/>
      <c r="E28" s="9">
        <v>46314</v>
      </c>
      <c r="F28" s="9">
        <v>46314</v>
      </c>
      <c r="G28" s="7">
        <f t="shared" si="0"/>
        <v>1</v>
      </c>
      <c r="H28" s="7" t="s">
        <v>15</v>
      </c>
      <c r="I28" s="10" t="s">
        <v>76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</row>
    <row r="29" spans="1:128" x14ac:dyDescent="0.25">
      <c r="A29" s="7" t="s">
        <v>77</v>
      </c>
      <c r="B29" s="8" t="s">
        <v>78</v>
      </c>
      <c r="C29" s="7" t="s">
        <v>12</v>
      </c>
      <c r="D29" s="7"/>
      <c r="E29" s="9">
        <v>46315</v>
      </c>
      <c r="F29" s="9">
        <v>46316</v>
      </c>
      <c r="G29" s="7">
        <f t="shared" si="0"/>
        <v>2</v>
      </c>
      <c r="H29" s="7" t="s">
        <v>15</v>
      </c>
      <c r="I29" s="10" t="s">
        <v>79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</row>
    <row r="30" spans="1:128" x14ac:dyDescent="0.25">
      <c r="A30" s="7" t="s">
        <v>80</v>
      </c>
      <c r="B30" s="8" t="s">
        <v>81</v>
      </c>
      <c r="C30" s="7" t="s">
        <v>12</v>
      </c>
      <c r="D30" s="7"/>
      <c r="E30" s="9">
        <v>46317</v>
      </c>
      <c r="F30" s="9">
        <v>46321</v>
      </c>
      <c r="G30" s="7">
        <f t="shared" si="0"/>
        <v>5</v>
      </c>
      <c r="H30" s="7" t="s">
        <v>15</v>
      </c>
      <c r="I30" s="10" t="s">
        <v>82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</row>
    <row r="31" spans="1:128" x14ac:dyDescent="0.25">
      <c r="A31" s="7" t="s">
        <v>83</v>
      </c>
      <c r="B31" s="8" t="s">
        <v>84</v>
      </c>
      <c r="C31" s="7" t="s">
        <v>12</v>
      </c>
      <c r="D31" s="7"/>
      <c r="E31" s="9">
        <v>46322</v>
      </c>
      <c r="F31" s="9">
        <v>46323</v>
      </c>
      <c r="G31" s="7">
        <f t="shared" si="0"/>
        <v>2</v>
      </c>
      <c r="H31" s="7" t="s">
        <v>15</v>
      </c>
      <c r="I31" s="10" t="s">
        <v>85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</row>
    <row r="32" spans="1:128" x14ac:dyDescent="0.25">
      <c r="A32" s="7" t="s">
        <v>86</v>
      </c>
      <c r="B32" s="8" t="s">
        <v>87</v>
      </c>
      <c r="C32" s="7" t="s">
        <v>12</v>
      </c>
      <c r="D32" s="7"/>
      <c r="E32" s="9">
        <v>46324</v>
      </c>
      <c r="F32" s="9">
        <v>46324</v>
      </c>
      <c r="G32" s="7">
        <f t="shared" si="0"/>
        <v>1</v>
      </c>
      <c r="H32" s="7" t="s">
        <v>15</v>
      </c>
      <c r="I32" s="10" t="s">
        <v>88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</row>
    <row r="33" spans="1:128" x14ac:dyDescent="0.25">
      <c r="A33" s="7" t="s">
        <v>89</v>
      </c>
      <c r="B33" s="8" t="s">
        <v>90</v>
      </c>
      <c r="C33" s="7" t="s">
        <v>12</v>
      </c>
      <c r="D33" s="7"/>
      <c r="E33" s="9">
        <v>46325</v>
      </c>
      <c r="F33" s="9">
        <v>46327</v>
      </c>
      <c r="G33" s="7">
        <f t="shared" si="0"/>
        <v>3</v>
      </c>
      <c r="H33" s="7" t="s">
        <v>15</v>
      </c>
      <c r="I33" s="10" t="s">
        <v>91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</row>
    <row r="34" spans="1:128" x14ac:dyDescent="0.25">
      <c r="A34" s="7" t="s">
        <v>92</v>
      </c>
      <c r="B34" s="8" t="s">
        <v>93</v>
      </c>
      <c r="C34" s="7" t="s">
        <v>12</v>
      </c>
      <c r="D34" s="7" t="s">
        <v>22</v>
      </c>
      <c r="E34" s="9">
        <v>46328</v>
      </c>
      <c r="F34" s="9">
        <v>46328</v>
      </c>
      <c r="G34" s="7">
        <f t="shared" si="0"/>
        <v>1</v>
      </c>
      <c r="H34" s="7" t="s">
        <v>94</v>
      </c>
      <c r="I34" s="10" t="s">
        <v>95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</row>
    <row r="35" spans="1:128" ht="30" x14ac:dyDescent="0.25">
      <c r="A35" s="3">
        <v>5</v>
      </c>
      <c r="B35" s="4" t="s">
        <v>96</v>
      </c>
      <c r="C35" s="3" t="s">
        <v>12</v>
      </c>
      <c r="D35" s="3"/>
      <c r="E35" s="5">
        <f>MIN(E36:E42)</f>
        <v>46329</v>
      </c>
      <c r="F35" s="5">
        <f>MAX(F36:F42)</f>
        <v>46342</v>
      </c>
      <c r="G35" s="3">
        <f t="shared" si="0"/>
        <v>14</v>
      </c>
      <c r="H35" s="3" t="str">
        <f>IF(COUNTIF(H36:H42,"Hoàn thành")=ROWS(H36:H42),"Hoàn thành",IF(COUNTIF(H36:H42,"Quá hạn")&gt;0,"Quá hạn",IF(COUNTIF(H36:H42,"Chưa bắt đầu")=ROWS(H36:H42),"Chưa bắt đầu","Đang thực hiện")))</f>
        <v>Đang thực hiện</v>
      </c>
      <c r="I35" s="4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</row>
    <row r="36" spans="1:128" x14ac:dyDescent="0.25">
      <c r="A36" s="7" t="s">
        <v>97</v>
      </c>
      <c r="B36" s="8" t="s">
        <v>98</v>
      </c>
      <c r="C36" s="7" t="s">
        <v>12</v>
      </c>
      <c r="D36" s="7"/>
      <c r="E36" s="9">
        <v>46329</v>
      </c>
      <c r="F36" s="9">
        <v>46330</v>
      </c>
      <c r="G36" s="7">
        <f t="shared" si="0"/>
        <v>2</v>
      </c>
      <c r="H36" s="7" t="s">
        <v>15</v>
      </c>
      <c r="I36" s="10" t="s">
        <v>99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</row>
    <row r="37" spans="1:128" x14ac:dyDescent="0.25">
      <c r="A37" s="7" t="s">
        <v>100</v>
      </c>
      <c r="B37" s="8" t="s">
        <v>101</v>
      </c>
      <c r="C37" s="7" t="s">
        <v>12</v>
      </c>
      <c r="D37" s="7"/>
      <c r="E37" s="9">
        <v>46331</v>
      </c>
      <c r="F37" s="9">
        <v>46335</v>
      </c>
      <c r="G37" s="7">
        <f t="shared" ref="G37:G68" si="1">F37-E37+1</f>
        <v>5</v>
      </c>
      <c r="H37" s="7" t="s">
        <v>15</v>
      </c>
      <c r="I37" s="10" t="s">
        <v>102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</row>
    <row r="38" spans="1:128" x14ac:dyDescent="0.25">
      <c r="A38" s="7" t="s">
        <v>103</v>
      </c>
      <c r="B38" s="8" t="s">
        <v>104</v>
      </c>
      <c r="C38" s="7" t="s">
        <v>12</v>
      </c>
      <c r="D38" s="7"/>
      <c r="E38" s="9">
        <v>46336</v>
      </c>
      <c r="F38" s="9">
        <v>46337</v>
      </c>
      <c r="G38" s="7">
        <f t="shared" si="1"/>
        <v>2</v>
      </c>
      <c r="H38" s="7" t="s">
        <v>15</v>
      </c>
      <c r="I38" s="10" t="s">
        <v>105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</row>
    <row r="39" spans="1:128" x14ac:dyDescent="0.25">
      <c r="A39" s="7" t="s">
        <v>106</v>
      </c>
      <c r="B39" s="8" t="s">
        <v>107</v>
      </c>
      <c r="C39" s="7" t="s">
        <v>12</v>
      </c>
      <c r="D39" s="7"/>
      <c r="E39" s="9">
        <v>46338</v>
      </c>
      <c r="F39" s="9">
        <v>46338</v>
      </c>
      <c r="G39" s="7">
        <f t="shared" si="1"/>
        <v>1</v>
      </c>
      <c r="H39" s="7" t="s">
        <v>15</v>
      </c>
      <c r="I39" s="10" t="s">
        <v>108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</row>
    <row r="40" spans="1:128" x14ac:dyDescent="0.25">
      <c r="A40" s="7" t="s">
        <v>109</v>
      </c>
      <c r="B40" s="8" t="s">
        <v>110</v>
      </c>
      <c r="C40" s="7" t="s">
        <v>12</v>
      </c>
      <c r="D40" s="7"/>
      <c r="E40" s="9">
        <v>46339</v>
      </c>
      <c r="F40" s="9">
        <v>46340</v>
      </c>
      <c r="G40" s="7">
        <f t="shared" si="1"/>
        <v>2</v>
      </c>
      <c r="H40" s="7" t="s">
        <v>15</v>
      </c>
      <c r="I40" s="10" t="s">
        <v>111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</row>
    <row r="41" spans="1:128" x14ac:dyDescent="0.25">
      <c r="A41" s="7" t="s">
        <v>112</v>
      </c>
      <c r="B41" s="8" t="s">
        <v>113</v>
      </c>
      <c r="C41" s="7" t="s">
        <v>12</v>
      </c>
      <c r="D41" s="7"/>
      <c r="E41" s="9">
        <v>46341</v>
      </c>
      <c r="F41" s="9">
        <v>46341</v>
      </c>
      <c r="G41" s="7">
        <f t="shared" si="1"/>
        <v>1</v>
      </c>
      <c r="H41" s="7" t="s">
        <v>94</v>
      </c>
      <c r="I41" s="10" t="s">
        <v>114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</row>
    <row r="42" spans="1:128" x14ac:dyDescent="0.25">
      <c r="A42" s="7" t="s">
        <v>115</v>
      </c>
      <c r="B42" s="8" t="s">
        <v>116</v>
      </c>
      <c r="C42" s="7" t="s">
        <v>12</v>
      </c>
      <c r="D42" s="7" t="s">
        <v>22</v>
      </c>
      <c r="E42" s="9">
        <v>46342</v>
      </c>
      <c r="F42" s="9">
        <v>46342</v>
      </c>
      <c r="G42" s="7">
        <f t="shared" si="1"/>
        <v>1</v>
      </c>
      <c r="H42" s="7" t="s">
        <v>94</v>
      </c>
      <c r="I42" s="10" t="s">
        <v>117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</row>
    <row r="43" spans="1:128" ht="30" x14ac:dyDescent="0.25">
      <c r="A43" s="3">
        <v>6</v>
      </c>
      <c r="B43" s="4" t="s">
        <v>118</v>
      </c>
      <c r="C43" s="3" t="s">
        <v>12</v>
      </c>
      <c r="D43" s="3"/>
      <c r="E43" s="5">
        <f>MIN(E44:E51)</f>
        <v>46343</v>
      </c>
      <c r="F43" s="5">
        <f>MAX(F44:F51)</f>
        <v>46356</v>
      </c>
      <c r="G43" s="3">
        <f t="shared" si="1"/>
        <v>14</v>
      </c>
      <c r="H43" s="3" t="str">
        <f>IF(COUNTIF(H44:H51,"Hoàn thành")=ROWS(H44:H51),"Hoàn thành",IF(COUNTIF(H44:H51,"Quá hạn")&gt;0,"Quá hạn",IF(COUNTIF(H44:H51,"Chưa bắt đầu")=ROWS(H44:H51),"Chưa bắt đầu","Đang thực hiện")))</f>
        <v>Đang thực hiện</v>
      </c>
      <c r="I43" s="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</row>
    <row r="44" spans="1:128" x14ac:dyDescent="0.25">
      <c r="A44" s="7" t="s">
        <v>119</v>
      </c>
      <c r="B44" s="8" t="s">
        <v>120</v>
      </c>
      <c r="C44" s="7" t="s">
        <v>12</v>
      </c>
      <c r="D44" s="7"/>
      <c r="E44" s="9">
        <v>46343</v>
      </c>
      <c r="F44" s="9">
        <v>46347</v>
      </c>
      <c r="G44" s="7">
        <f t="shared" si="1"/>
        <v>5</v>
      </c>
      <c r="H44" s="7" t="s">
        <v>15</v>
      </c>
      <c r="I44" s="10" t="s">
        <v>121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</row>
    <row r="45" spans="1:128" x14ac:dyDescent="0.25">
      <c r="A45" s="7" t="s">
        <v>122</v>
      </c>
      <c r="B45" s="8" t="s">
        <v>123</v>
      </c>
      <c r="C45" s="7" t="s">
        <v>12</v>
      </c>
      <c r="D45" s="7"/>
      <c r="E45" s="9">
        <v>46348</v>
      </c>
      <c r="F45" s="9">
        <v>46348</v>
      </c>
      <c r="G45" s="7">
        <f t="shared" si="1"/>
        <v>1</v>
      </c>
      <c r="H45" s="7" t="s">
        <v>15</v>
      </c>
      <c r="I45" s="10" t="s">
        <v>124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</row>
    <row r="46" spans="1:128" x14ac:dyDescent="0.25">
      <c r="A46" s="7" t="s">
        <v>125</v>
      </c>
      <c r="B46" s="8" t="s">
        <v>126</v>
      </c>
      <c r="C46" s="7" t="s">
        <v>12</v>
      </c>
      <c r="D46" s="7"/>
      <c r="E46" s="9">
        <v>46349</v>
      </c>
      <c r="F46" s="9">
        <v>46349</v>
      </c>
      <c r="G46" s="7">
        <f t="shared" si="1"/>
        <v>1</v>
      </c>
      <c r="H46" s="7" t="s">
        <v>15</v>
      </c>
      <c r="I46" s="10" t="s">
        <v>127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</row>
    <row r="47" spans="1:128" x14ac:dyDescent="0.25">
      <c r="A47" s="7" t="s">
        <v>128</v>
      </c>
      <c r="B47" s="8" t="s">
        <v>129</v>
      </c>
      <c r="C47" s="7" t="s">
        <v>12</v>
      </c>
      <c r="D47" s="7"/>
      <c r="E47" s="9">
        <v>46350</v>
      </c>
      <c r="F47" s="9">
        <v>46350</v>
      </c>
      <c r="G47" s="7">
        <f t="shared" si="1"/>
        <v>1</v>
      </c>
      <c r="H47" s="7" t="s">
        <v>15</v>
      </c>
      <c r="I47" s="10" t="s">
        <v>130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</row>
    <row r="48" spans="1:128" x14ac:dyDescent="0.25">
      <c r="A48" s="7" t="s">
        <v>131</v>
      </c>
      <c r="B48" s="8" t="s">
        <v>132</v>
      </c>
      <c r="C48" s="7" t="s">
        <v>12</v>
      </c>
      <c r="D48" s="7"/>
      <c r="E48" s="9">
        <v>46351</v>
      </c>
      <c r="F48" s="9">
        <v>46352</v>
      </c>
      <c r="G48" s="7">
        <f t="shared" si="1"/>
        <v>2</v>
      </c>
      <c r="H48" s="7" t="s">
        <v>15</v>
      </c>
      <c r="I48" s="10" t="s">
        <v>133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</row>
    <row r="49" spans="1:128" x14ac:dyDescent="0.25">
      <c r="A49" s="7" t="s">
        <v>134</v>
      </c>
      <c r="B49" s="8" t="s">
        <v>135</v>
      </c>
      <c r="C49" s="7" t="s">
        <v>12</v>
      </c>
      <c r="D49" s="7"/>
      <c r="E49" s="9">
        <v>46353</v>
      </c>
      <c r="F49" s="9">
        <v>46354</v>
      </c>
      <c r="G49" s="7">
        <f t="shared" si="1"/>
        <v>2</v>
      </c>
      <c r="H49" s="7" t="s">
        <v>15</v>
      </c>
      <c r="I49" s="10" t="s">
        <v>136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</row>
    <row r="50" spans="1:128" x14ac:dyDescent="0.25">
      <c r="A50" s="7" t="s">
        <v>137</v>
      </c>
      <c r="B50" s="8" t="s">
        <v>138</v>
      </c>
      <c r="C50" s="7" t="s">
        <v>12</v>
      </c>
      <c r="D50" s="7"/>
      <c r="E50" s="9">
        <v>46355</v>
      </c>
      <c r="F50" s="9">
        <v>46355</v>
      </c>
      <c r="G50" s="7">
        <f t="shared" si="1"/>
        <v>1</v>
      </c>
      <c r="H50" s="7" t="s">
        <v>94</v>
      </c>
      <c r="I50" s="10" t="s">
        <v>139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</row>
    <row r="51" spans="1:128" x14ac:dyDescent="0.25">
      <c r="A51" s="7" t="s">
        <v>140</v>
      </c>
      <c r="B51" s="8" t="s">
        <v>141</v>
      </c>
      <c r="C51" s="7" t="s">
        <v>12</v>
      </c>
      <c r="D51" s="7" t="s">
        <v>22</v>
      </c>
      <c r="E51" s="9">
        <v>46356</v>
      </c>
      <c r="F51" s="9">
        <v>46356</v>
      </c>
      <c r="G51" s="7">
        <f t="shared" si="1"/>
        <v>1</v>
      </c>
      <c r="H51" s="7" t="s">
        <v>94</v>
      </c>
      <c r="I51" s="10" t="s">
        <v>142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</row>
    <row r="52" spans="1:128" ht="30" x14ac:dyDescent="0.25">
      <c r="A52" s="3">
        <v>7</v>
      </c>
      <c r="B52" s="4" t="s">
        <v>143</v>
      </c>
      <c r="C52" s="3" t="s">
        <v>12</v>
      </c>
      <c r="D52" s="3"/>
      <c r="E52" s="5">
        <f>MIN(E53:E58)</f>
        <v>46357</v>
      </c>
      <c r="F52" s="5">
        <f>MAX(F53:F58)</f>
        <v>46370</v>
      </c>
      <c r="G52" s="3">
        <f t="shared" si="1"/>
        <v>14</v>
      </c>
      <c r="H52" s="3" t="str">
        <f>IF(COUNTIF(H53:H58,"Hoàn thành")=ROWS(H53:H58),"Hoàn thành",IF(COUNTIF(H53:H58,"Quá hạn")&gt;0,"Quá hạn",IF(COUNTIF(H53:H58,"Chưa bắt đầu")=ROWS(H53:H58),"Chưa bắt đầu","Đang thực hiện")))</f>
        <v>Đang thực hiện</v>
      </c>
      <c r="I52" s="4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</row>
    <row r="53" spans="1:128" x14ac:dyDescent="0.25">
      <c r="A53" s="7" t="s">
        <v>144</v>
      </c>
      <c r="B53" s="8" t="s">
        <v>145</v>
      </c>
      <c r="C53" s="7" t="s">
        <v>12</v>
      </c>
      <c r="D53" s="7"/>
      <c r="E53" s="9">
        <v>46357</v>
      </c>
      <c r="F53" s="9">
        <v>46359</v>
      </c>
      <c r="G53" s="7">
        <f t="shared" si="1"/>
        <v>3</v>
      </c>
      <c r="H53" s="7" t="s">
        <v>15</v>
      </c>
      <c r="I53" s="10" t="s">
        <v>146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</row>
    <row r="54" spans="1:128" x14ac:dyDescent="0.25">
      <c r="A54" s="7" t="s">
        <v>147</v>
      </c>
      <c r="B54" s="8" t="s">
        <v>148</v>
      </c>
      <c r="C54" s="7" t="s">
        <v>12</v>
      </c>
      <c r="D54" s="7"/>
      <c r="E54" s="9">
        <v>46360</v>
      </c>
      <c r="F54" s="9">
        <v>46361</v>
      </c>
      <c r="G54" s="7">
        <f t="shared" si="1"/>
        <v>2</v>
      </c>
      <c r="H54" s="7" t="s">
        <v>15</v>
      </c>
      <c r="I54" s="10" t="s">
        <v>149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</row>
    <row r="55" spans="1:128" ht="30" x14ac:dyDescent="0.25">
      <c r="A55" s="7" t="s">
        <v>150</v>
      </c>
      <c r="B55" s="8" t="s">
        <v>151</v>
      </c>
      <c r="C55" s="7" t="s">
        <v>12</v>
      </c>
      <c r="D55" s="7"/>
      <c r="E55" s="9">
        <v>46362</v>
      </c>
      <c r="F55" s="9">
        <v>46364</v>
      </c>
      <c r="G55" s="7">
        <f t="shared" si="1"/>
        <v>3</v>
      </c>
      <c r="H55" s="7" t="s">
        <v>15</v>
      </c>
      <c r="I55" s="10" t="s">
        <v>152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</row>
    <row r="56" spans="1:128" ht="30" x14ac:dyDescent="0.25">
      <c r="A56" s="7" t="s">
        <v>153</v>
      </c>
      <c r="B56" s="8" t="s">
        <v>154</v>
      </c>
      <c r="C56" s="7" t="s">
        <v>12</v>
      </c>
      <c r="D56" s="7"/>
      <c r="E56" s="9">
        <v>46363</v>
      </c>
      <c r="F56" s="9">
        <v>46367</v>
      </c>
      <c r="G56" s="7">
        <f t="shared" si="1"/>
        <v>5</v>
      </c>
      <c r="H56" s="7" t="s">
        <v>94</v>
      </c>
      <c r="I56" s="10" t="s">
        <v>155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</row>
    <row r="57" spans="1:128" ht="30" x14ac:dyDescent="0.25">
      <c r="A57" s="7" t="s">
        <v>156</v>
      </c>
      <c r="B57" s="8" t="s">
        <v>157</v>
      </c>
      <c r="C57" s="7" t="s">
        <v>12</v>
      </c>
      <c r="D57" s="7"/>
      <c r="E57" s="9">
        <v>46365</v>
      </c>
      <c r="F57" s="9">
        <v>46366</v>
      </c>
      <c r="G57" s="7">
        <f t="shared" si="1"/>
        <v>2</v>
      </c>
      <c r="H57" s="7" t="s">
        <v>71</v>
      </c>
      <c r="I57" s="10" t="s">
        <v>158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</row>
    <row r="58" spans="1:128" x14ac:dyDescent="0.25">
      <c r="A58" s="7" t="s">
        <v>159</v>
      </c>
      <c r="B58" s="8" t="s">
        <v>160</v>
      </c>
      <c r="C58" s="7" t="s">
        <v>12</v>
      </c>
      <c r="D58" s="7" t="s">
        <v>22</v>
      </c>
      <c r="E58" s="9">
        <v>46370</v>
      </c>
      <c r="F58" s="9">
        <v>46370</v>
      </c>
      <c r="G58" s="7">
        <f t="shared" si="1"/>
        <v>1</v>
      </c>
      <c r="H58" s="7" t="s">
        <v>94</v>
      </c>
      <c r="I58" s="10" t="s">
        <v>161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</row>
    <row r="59" spans="1:128" x14ac:dyDescent="0.25">
      <c r="A59" s="3">
        <v>8</v>
      </c>
      <c r="B59" s="4" t="s">
        <v>162</v>
      </c>
      <c r="C59" s="3" t="s">
        <v>12</v>
      </c>
      <c r="D59" s="3"/>
      <c r="E59" s="5">
        <f>MIN(E60:E64)</f>
        <v>46367</v>
      </c>
      <c r="F59" s="5">
        <f>MAX(F60:F64)</f>
        <v>46376</v>
      </c>
      <c r="G59" s="3">
        <f t="shared" si="1"/>
        <v>10</v>
      </c>
      <c r="H59" s="3" t="str">
        <f>IF(COUNTIF(H60:H64,"Hoàn thành")=ROWS(H60:H64),"Hoàn thành",IF(COUNTIF(H60:H64,"Quá hạn")&gt;0,"Quá hạn",IF(COUNTIF(H60:H64,"Chưa bắt đầu")=ROWS(H60:H64),"Chưa bắt đầu","Đang thực hiện")))</f>
        <v>Chưa bắt đầu</v>
      </c>
      <c r="I59" s="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</row>
    <row r="60" spans="1:128" x14ac:dyDescent="0.25">
      <c r="A60" s="7" t="s">
        <v>163</v>
      </c>
      <c r="B60" s="8" t="s">
        <v>164</v>
      </c>
      <c r="C60" s="7" t="s">
        <v>12</v>
      </c>
      <c r="D60" s="7"/>
      <c r="E60" s="9">
        <v>46367</v>
      </c>
      <c r="F60" s="9">
        <v>46368</v>
      </c>
      <c r="G60" s="7">
        <f t="shared" si="1"/>
        <v>2</v>
      </c>
      <c r="H60" s="7" t="s">
        <v>94</v>
      </c>
      <c r="I60" s="10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</row>
    <row r="61" spans="1:128" x14ac:dyDescent="0.25">
      <c r="A61" s="7" t="s">
        <v>165</v>
      </c>
      <c r="B61" s="8" t="s">
        <v>166</v>
      </c>
      <c r="C61" s="7" t="s">
        <v>12</v>
      </c>
      <c r="D61" s="7"/>
      <c r="E61" s="9">
        <v>46369</v>
      </c>
      <c r="F61" s="9">
        <v>46371</v>
      </c>
      <c r="G61" s="7">
        <f t="shared" si="1"/>
        <v>3</v>
      </c>
      <c r="H61" s="7" t="s">
        <v>94</v>
      </c>
      <c r="I61" s="10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</row>
    <row r="62" spans="1:128" x14ac:dyDescent="0.25">
      <c r="A62" s="7" t="s">
        <v>167</v>
      </c>
      <c r="B62" s="8" t="s">
        <v>168</v>
      </c>
      <c r="C62" s="7" t="s">
        <v>12</v>
      </c>
      <c r="D62" s="7" t="s">
        <v>169</v>
      </c>
      <c r="E62" s="9">
        <v>46372</v>
      </c>
      <c r="F62" s="9">
        <v>46373</v>
      </c>
      <c r="G62" s="7">
        <f t="shared" si="1"/>
        <v>2</v>
      </c>
      <c r="H62" s="7" t="s">
        <v>94</v>
      </c>
      <c r="I62" s="10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</row>
    <row r="63" spans="1:128" x14ac:dyDescent="0.25">
      <c r="A63" s="7" t="s">
        <v>170</v>
      </c>
      <c r="B63" s="8" t="s">
        <v>171</v>
      </c>
      <c r="C63" s="7" t="s">
        <v>12</v>
      </c>
      <c r="D63" s="7"/>
      <c r="E63" s="9">
        <v>46371</v>
      </c>
      <c r="F63" s="9">
        <v>46375</v>
      </c>
      <c r="G63" s="7">
        <f t="shared" si="1"/>
        <v>5</v>
      </c>
      <c r="H63" s="7" t="s">
        <v>94</v>
      </c>
      <c r="I63" s="10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</row>
    <row r="64" spans="1:128" x14ac:dyDescent="0.25">
      <c r="A64" s="7" t="s">
        <v>172</v>
      </c>
      <c r="B64" s="8" t="s">
        <v>173</v>
      </c>
      <c r="C64" s="7" t="s">
        <v>12</v>
      </c>
      <c r="D64" s="7"/>
      <c r="E64" s="9">
        <v>46376</v>
      </c>
      <c r="F64" s="9">
        <v>46376</v>
      </c>
      <c r="G64" s="7">
        <f t="shared" si="1"/>
        <v>1</v>
      </c>
      <c r="H64" s="7" t="s">
        <v>94</v>
      </c>
      <c r="I64" s="10" t="s">
        <v>174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</row>
    <row r="65" spans="1:128" ht="30" x14ac:dyDescent="0.25">
      <c r="A65" s="3">
        <v>9</v>
      </c>
      <c r="B65" s="4" t="s">
        <v>175</v>
      </c>
      <c r="C65" s="3" t="s">
        <v>12</v>
      </c>
      <c r="D65" s="3"/>
      <c r="E65" s="5">
        <f>MIN(E66:E72)</f>
        <v>46370</v>
      </c>
      <c r="F65" s="5">
        <f>MAX(F66:F72)</f>
        <v>46388</v>
      </c>
      <c r="G65" s="3">
        <f t="shared" si="1"/>
        <v>19</v>
      </c>
      <c r="H65" s="3" t="str">
        <f>IF(COUNTIF(H66:H72,"Hoàn thành")=ROWS(H66:H72),"Hoàn thành",IF(COUNTIF(H66:H72,"Quá hạn")&gt;0,"Quá hạn",IF(COUNTIF(H66:H72,"Chưa bắt đầu")=ROWS(H66:H72),"Chưa bắt đầu","Đang thực hiện")))</f>
        <v>Đang thực hiện</v>
      </c>
      <c r="I65" s="4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</row>
    <row r="66" spans="1:128" x14ac:dyDescent="0.25">
      <c r="A66" s="7" t="s">
        <v>176</v>
      </c>
      <c r="B66" s="8" t="s">
        <v>177</v>
      </c>
      <c r="C66" s="7" t="s">
        <v>12</v>
      </c>
      <c r="D66" s="7"/>
      <c r="E66" s="9">
        <v>46370</v>
      </c>
      <c r="F66" s="9">
        <v>46381</v>
      </c>
      <c r="G66" s="7">
        <f t="shared" si="1"/>
        <v>12</v>
      </c>
      <c r="H66" s="7" t="s">
        <v>94</v>
      </c>
      <c r="I66" s="10" t="s">
        <v>178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</row>
    <row r="67" spans="1:128" x14ac:dyDescent="0.25">
      <c r="A67" s="7" t="s">
        <v>179</v>
      </c>
      <c r="B67" s="8" t="s">
        <v>180</v>
      </c>
      <c r="C67" s="7" t="s">
        <v>12</v>
      </c>
      <c r="D67" s="7"/>
      <c r="E67" s="9">
        <v>46377</v>
      </c>
      <c r="F67" s="9">
        <v>46378</v>
      </c>
      <c r="G67" s="7">
        <f t="shared" si="1"/>
        <v>2</v>
      </c>
      <c r="H67" s="7" t="s">
        <v>15</v>
      </c>
      <c r="I67" s="10" t="s">
        <v>181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</row>
    <row r="68" spans="1:128" ht="30" x14ac:dyDescent="0.25">
      <c r="A68" s="7" t="s">
        <v>182</v>
      </c>
      <c r="B68" s="8" t="s">
        <v>183</v>
      </c>
      <c r="C68" s="7" t="s">
        <v>12</v>
      </c>
      <c r="D68" s="7"/>
      <c r="E68" s="9">
        <v>46379</v>
      </c>
      <c r="F68" s="9">
        <v>46383</v>
      </c>
      <c r="G68" s="7">
        <f t="shared" si="1"/>
        <v>5</v>
      </c>
      <c r="H68" s="7" t="s">
        <v>71</v>
      </c>
      <c r="I68" s="10" t="s">
        <v>184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</row>
    <row r="69" spans="1:128" x14ac:dyDescent="0.25">
      <c r="A69" s="7" t="s">
        <v>185</v>
      </c>
      <c r="B69" s="8" t="s">
        <v>186</v>
      </c>
      <c r="C69" s="7" t="s">
        <v>12</v>
      </c>
      <c r="D69" s="7" t="s">
        <v>22</v>
      </c>
      <c r="E69" s="9">
        <v>46381</v>
      </c>
      <c r="F69" s="9">
        <v>46381</v>
      </c>
      <c r="G69" s="7">
        <f t="shared" ref="G69:G76" si="2">F69-E69+1</f>
        <v>1</v>
      </c>
      <c r="H69" s="7" t="s">
        <v>94</v>
      </c>
      <c r="I69" s="10" t="s">
        <v>187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</row>
    <row r="70" spans="1:128" x14ac:dyDescent="0.25">
      <c r="A70" s="7" t="s">
        <v>188</v>
      </c>
      <c r="B70" s="8" t="s">
        <v>189</v>
      </c>
      <c r="C70" s="7" t="s">
        <v>12</v>
      </c>
      <c r="D70" s="7"/>
      <c r="E70" s="9">
        <v>46384</v>
      </c>
      <c r="F70" s="9">
        <v>46385</v>
      </c>
      <c r="G70" s="7">
        <f t="shared" si="2"/>
        <v>2</v>
      </c>
      <c r="H70" s="7" t="s">
        <v>94</v>
      </c>
      <c r="I70" s="10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</row>
    <row r="71" spans="1:128" x14ac:dyDescent="0.25">
      <c r="A71" s="7" t="s">
        <v>190</v>
      </c>
      <c r="B71" s="8" t="s">
        <v>191</v>
      </c>
      <c r="C71" s="7" t="s">
        <v>12</v>
      </c>
      <c r="D71" s="7" t="s">
        <v>22</v>
      </c>
      <c r="E71" s="9">
        <v>46386</v>
      </c>
      <c r="F71" s="9">
        <v>46386</v>
      </c>
      <c r="G71" s="7">
        <f t="shared" si="2"/>
        <v>1</v>
      </c>
      <c r="H71" s="7" t="s">
        <v>94</v>
      </c>
      <c r="I71" s="10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</row>
    <row r="72" spans="1:128" x14ac:dyDescent="0.25">
      <c r="A72" s="7" t="s">
        <v>192</v>
      </c>
      <c r="B72" s="8" t="s">
        <v>193</v>
      </c>
      <c r="C72" s="7" t="s">
        <v>12</v>
      </c>
      <c r="D72" s="7"/>
      <c r="E72" s="9">
        <v>46387</v>
      </c>
      <c r="F72" s="9">
        <v>46388</v>
      </c>
      <c r="G72" s="7">
        <f t="shared" si="2"/>
        <v>2</v>
      </c>
      <c r="H72" s="7" t="s">
        <v>94</v>
      </c>
      <c r="I72" s="10" t="s">
        <v>194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</row>
    <row r="73" spans="1:128" ht="30" x14ac:dyDescent="0.25">
      <c r="A73" s="3">
        <v>10</v>
      </c>
      <c r="B73" s="4" t="s">
        <v>195</v>
      </c>
      <c r="C73" s="3" t="s">
        <v>12</v>
      </c>
      <c r="D73" s="3"/>
      <c r="E73" s="5">
        <f>MIN(E74:E76)</f>
        <v>46275</v>
      </c>
      <c r="F73" s="5">
        <f>MAX(F74:F76)</f>
        <v>46388</v>
      </c>
      <c r="G73" s="3">
        <f t="shared" si="2"/>
        <v>114</v>
      </c>
      <c r="H73" s="3" t="str">
        <f>IF(COUNTIF(H74:H76,"Hoàn thành")=ROWS(H74:H76),"Hoàn thành",IF(COUNTIF(H74:H76,"Quá hạn")&gt;0,"Quá hạn",IF(COUNTIF(H74:H76,"Chưa bắt đầu")=ROWS(H74:H76),"Chưa bắt đầu","Đang thực hiện")))</f>
        <v>Đang thực hiện</v>
      </c>
      <c r="I73" s="4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</row>
    <row r="74" spans="1:128" ht="30" x14ac:dyDescent="0.25">
      <c r="A74" s="7" t="s">
        <v>196</v>
      </c>
      <c r="B74" s="8" t="s">
        <v>197</v>
      </c>
      <c r="C74" s="7" t="s">
        <v>12</v>
      </c>
      <c r="D74" s="7"/>
      <c r="E74" s="9">
        <v>46275</v>
      </c>
      <c r="F74" s="9">
        <v>46388</v>
      </c>
      <c r="G74" s="7">
        <f t="shared" si="2"/>
        <v>114</v>
      </c>
      <c r="H74" s="7" t="s">
        <v>71</v>
      </c>
      <c r="I74" s="10" t="s">
        <v>198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</row>
    <row r="75" spans="1:128" ht="30" x14ac:dyDescent="0.25">
      <c r="A75" s="7" t="s">
        <v>199</v>
      </c>
      <c r="B75" s="8" t="s">
        <v>200</v>
      </c>
      <c r="C75" s="7" t="s">
        <v>12</v>
      </c>
      <c r="D75" s="7" t="s">
        <v>22</v>
      </c>
      <c r="E75" s="9">
        <v>46275</v>
      </c>
      <c r="F75" s="9">
        <v>46388</v>
      </c>
      <c r="G75" s="7">
        <f t="shared" si="2"/>
        <v>114</v>
      </c>
      <c r="H75" s="7" t="s">
        <v>71</v>
      </c>
      <c r="I75" s="10" t="s">
        <v>201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</row>
    <row r="76" spans="1:128" ht="30" x14ac:dyDescent="0.25">
      <c r="A76" s="7" t="s">
        <v>202</v>
      </c>
      <c r="B76" s="8" t="s">
        <v>203</v>
      </c>
      <c r="C76" s="7" t="s">
        <v>12</v>
      </c>
      <c r="D76" s="7"/>
      <c r="E76" s="9">
        <v>46275</v>
      </c>
      <c r="F76" s="9">
        <v>46388</v>
      </c>
      <c r="G76" s="7">
        <f t="shared" si="2"/>
        <v>114</v>
      </c>
      <c r="H76" s="7" t="s">
        <v>71</v>
      </c>
      <c r="I76" s="10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</row>
    <row r="78" spans="1:128" x14ac:dyDescent="0.25">
      <c r="B78" s="11" t="s">
        <v>204</v>
      </c>
    </row>
    <row r="79" spans="1:128" x14ac:dyDescent="0.25">
      <c r="A79" s="12"/>
      <c r="B79" s="13" t="s">
        <v>205</v>
      </c>
    </row>
    <row r="80" spans="1:128" x14ac:dyDescent="0.25">
      <c r="A80" s="14"/>
      <c r="B80" s="13" t="s">
        <v>206</v>
      </c>
    </row>
    <row r="81" spans="1:2" x14ac:dyDescent="0.25">
      <c r="A81" s="15"/>
      <c r="B81" s="13" t="s">
        <v>207</v>
      </c>
    </row>
    <row r="82" spans="1:2" x14ac:dyDescent="0.25">
      <c r="A82" s="16"/>
      <c r="B82" s="13" t="s">
        <v>208</v>
      </c>
    </row>
    <row r="83" spans="1:2" x14ac:dyDescent="0.25">
      <c r="A83" s="17"/>
      <c r="B83" s="13" t="s">
        <v>209</v>
      </c>
    </row>
    <row r="84" spans="1:2" x14ac:dyDescent="0.25">
      <c r="A84" s="18"/>
      <c r="B84" s="13" t="s">
        <v>210</v>
      </c>
    </row>
    <row r="85" spans="1:2" ht="30" customHeight="1" x14ac:dyDescent="0.25">
      <c r="B85" s="19" t="s">
        <v>211</v>
      </c>
    </row>
  </sheetData>
  <mergeCells count="28">
    <mergeCell ref="A1:I1"/>
    <mergeCell ref="AL3:AR3"/>
    <mergeCell ref="DK3:DQ3"/>
    <mergeCell ref="CW3:DC3"/>
    <mergeCell ref="DR3:DX3"/>
    <mergeCell ref="A2:I2"/>
    <mergeCell ref="A3:A4"/>
    <mergeCell ref="G3:G4"/>
    <mergeCell ref="I3:I4"/>
    <mergeCell ref="D3:D4"/>
    <mergeCell ref="BG3:BM3"/>
    <mergeCell ref="Q3:W3"/>
    <mergeCell ref="BU3:CA3"/>
    <mergeCell ref="DD3:DJ3"/>
    <mergeCell ref="H3:H4"/>
    <mergeCell ref="AE3:AK3"/>
    <mergeCell ref="BN3:BT3"/>
    <mergeCell ref="CB3:CH3"/>
    <mergeCell ref="C3:C4"/>
    <mergeCell ref="CP3:CV3"/>
    <mergeCell ref="B3:B4"/>
    <mergeCell ref="AZ3:BF3"/>
    <mergeCell ref="F3:F4"/>
    <mergeCell ref="J3:P3"/>
    <mergeCell ref="AS3:AY3"/>
    <mergeCell ref="CI3:CO3"/>
    <mergeCell ref="X3:AD3"/>
    <mergeCell ref="E3:E4"/>
  </mergeCells>
  <conditionalFormatting sqref="H5:H76">
    <cfRule type="expression" dxfId="9" priority="7">
      <formula>$H5="Hoàn thành"</formula>
    </cfRule>
    <cfRule type="expression" dxfId="8" priority="8">
      <formula>$H5="Đang thực hiện"</formula>
    </cfRule>
    <cfRule type="expression" dxfId="7" priority="9">
      <formula>$H5="Quá hạn"</formula>
    </cfRule>
    <cfRule type="expression" dxfId="6" priority="10">
      <formula>$H5="Chưa bắt đầu"</formula>
    </cfRule>
  </conditionalFormatting>
  <conditionalFormatting sqref="J5:DX76">
    <cfRule type="expression" dxfId="5" priority="1" stopIfTrue="1">
      <formula>AND(AND(J$4&gt;=$E5,J$4&lt;=$F5),$H5="Hoàn thành")</formula>
    </cfRule>
    <cfRule type="expression" dxfId="4" priority="2" stopIfTrue="1">
      <formula>AND(AND(J$4&gt;=$E5,J$4&lt;=$F5),LEFT($I5,3)="Mốc")</formula>
    </cfRule>
    <cfRule type="expression" dxfId="3" priority="3" stopIfTrue="1">
      <formula>AND(AND(J$4&gt;=$E5,J$4&lt;=$F5),ISNUMBER($A5))</formula>
    </cfRule>
    <cfRule type="expression" dxfId="2" priority="4" stopIfTrue="1">
      <formula>AND(J$4&gt;=$E5,J$4&lt;=$F5)</formula>
    </cfRule>
    <cfRule type="expression" dxfId="1" priority="5" stopIfTrue="1">
      <formula>J$4=TODAY()</formula>
    </cfRule>
    <cfRule type="expression" dxfId="0" priority="6">
      <formula>WEEKDAY(J$4,2)&gt;5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Data!$A$1:$A$4</xm:f>
          </x14:formula1>
          <xm:sqref>H5:H76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8" customWidth="1"/>
    <col min="2" max="2" width="26" customWidth="1"/>
    <col min="3" max="3" width="80" customWidth="1"/>
  </cols>
  <sheetData>
    <row r="1" spans="1:3" x14ac:dyDescent="0.25">
      <c r="A1" s="20" t="s">
        <v>212</v>
      </c>
      <c r="B1" s="20" t="s">
        <v>213</v>
      </c>
      <c r="C1" s="20" t="s">
        <v>214</v>
      </c>
    </row>
    <row r="2" spans="1:3" ht="30" x14ac:dyDescent="0.25">
      <c r="A2" s="10" t="s">
        <v>215</v>
      </c>
      <c r="B2" s="10" t="s">
        <v>12</v>
      </c>
      <c r="C2" s="10" t="s">
        <v>216</v>
      </c>
    </row>
    <row r="3" spans="1:3" x14ac:dyDescent="0.25">
      <c r="A3" s="10" t="s">
        <v>22</v>
      </c>
      <c r="B3" s="21"/>
      <c r="C3" s="10" t="s">
        <v>217</v>
      </c>
    </row>
    <row r="4" spans="1:3" x14ac:dyDescent="0.25">
      <c r="A4" s="10" t="s">
        <v>169</v>
      </c>
      <c r="B4" s="21"/>
      <c r="C4" s="10" t="s">
        <v>218</v>
      </c>
    </row>
    <row r="6" spans="1:3" x14ac:dyDescent="0.25">
      <c r="A6" s="1" t="s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cols>
    <col min="1" max="1" width="16" customWidth="1"/>
  </cols>
  <sheetData>
    <row r="1" spans="1:1" x14ac:dyDescent="0.25">
      <c r="A1" s="22" t="s">
        <v>94</v>
      </c>
    </row>
    <row r="2" spans="1:1" x14ac:dyDescent="0.25">
      <c r="A2" s="22" t="s">
        <v>71</v>
      </c>
    </row>
    <row r="3" spans="1:1" x14ac:dyDescent="0.25">
      <c r="A3" s="22" t="s">
        <v>15</v>
      </c>
    </row>
    <row r="4" spans="1:1" x14ac:dyDescent="0.25">
      <c r="A4" s="2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Tuần</vt:lpstr>
      <vt:lpstr>Nhân sự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Dat</cp:lastModifiedBy>
  <dcterms:created xsi:type="dcterms:W3CDTF">2026-10-08T03:42:24Z</dcterms:created>
  <dcterms:modified xsi:type="dcterms:W3CDTF">2026-10-14T13:53:15Z</dcterms:modified>
</cp:coreProperties>
</file>